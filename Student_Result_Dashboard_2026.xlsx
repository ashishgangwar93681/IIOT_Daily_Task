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bed7fed79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aaf8cb08a14d4e"/>
    <x:sheet xmlns:r="http://schemas.openxmlformats.org/officeDocument/2006/relationships" name="Student Data" sheetId="2" r:id="R3f590e9bc268463c"/>
    <x:sheet xmlns:r="http://schemas.openxmlformats.org/officeDocument/2006/relationships" name="Chart Data" sheetId="3" r:id="R52a992b84b2e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%&quot;"/>
    <x:numFmt numFmtId="201" formatCode="0.0%"/>
    <x:numFmt numFmtId="202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22"/>
      <x:color rgb="FFFFFFFF"/>
      <x:name val="Carlito"/>
    </x:font>
    <x:font>
      <x:b/>
      <x:sz val="11"/>
      <x:color rgb="FF12355B"/>
      <x:name val="Carlito"/>
    </x:font>
    <x:font>
      <x:b/>
      <x:sz val="10"/>
      <x:color rgb="FF0B1F33"/>
      <x:name val="Carlito"/>
    </x:font>
    <x:font>
      <x:b/>
      <x:sz val="22"/>
      <x:color rgb="FF0B1F33"/>
      <x:name val="Carlito"/>
    </x:font>
    <x:font>
      <x:b/>
      <x:sz val="10"/>
      <x:color rgb="FF166534"/>
      <x:name val="Carlito"/>
    </x:font>
    <x:font>
      <x:b/>
      <x:sz val="22"/>
      <x:color rgb="FF166534"/>
      <x:name val="Carlito"/>
    </x:font>
    <x:font>
      <x:b/>
      <x:sz val="10"/>
      <x:color rgb="FF12355B"/>
      <x:name val="Carlito"/>
    </x:font>
    <x:font>
      <x:b/>
      <x:sz val="22"/>
      <x:color rgb="FF12355B"/>
      <x:name val="Carlito"/>
    </x:font>
    <x:font>
      <x:b/>
      <x:sz val="10"/>
      <x:color rgb="FF9A6700"/>
      <x:name val="Carlito"/>
    </x:font>
    <x:font>
      <x:b/>
      <x:sz val="22"/>
      <x:color rgb="FF9A6700"/>
      <x:name val="Carlito"/>
    </x:font>
    <x:font>
      <x:b/>
      <x:sz val="10"/>
      <x:color rgb="FF6B21A8"/>
      <x:name val="Carlito"/>
    </x:font>
    <x:font>
      <x:b/>
      <x:sz val="14"/>
      <x:color rgb="FF6B21A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0B1F33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9F7EF"/>
      </x:patternFill>
    </x:fill>
    <x:fill>
      <x:patternFill patternType="solid">
        <x:fgColor rgb="FFEEF4FF"/>
      </x:patternFill>
    </x:fill>
    <x:fill>
      <x:patternFill patternType="solid">
        <x:fgColor rgb="FFFFF6E5"/>
      </x:patternFill>
    </x:fill>
    <x:fill>
      <x:patternFill patternType="solid">
        <x:fgColor rgb="FFF3E8FF"/>
      </x:patternFill>
    </x:fill>
    <x:fill>
      <x:patternFill patternType="solid">
        <x:fgColor rgb="FFE9F3F8"/>
      </x:patternFill>
    </x:fill>
    <x:fill>
      <x:patternFill patternType="solid">
        <x:fgColor rgb="FFDDEBF3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202" fontId="7" fillId="5" borderId="0" xfId="0" applyNumberFormat="1" applyFont="1" applyFill="1" applyBorder="1" applyAlignment="1">
      <x:alignment horizontal="center"/>
    </x:xf>
    <x:xf numFmtId="202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202" fontId="7" fillId="5" borderId="1" xfId="0" applyNumberFormat="1" applyFont="1" applyFill="1" applyBorder="1"/>
    <x:xf numFmtId="202" fontId="7" fillId="5" borderId="1" xfId="0" applyNumberFormat="1" applyFont="1" applyFill="1" applyBorder="1" applyAlignment="1">
      <x:alignment horizontal="center"/>
    </x:xf>
    <x:xf numFmtId="202" fontId="7" fillId="5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201" fontId="9" fillId="5" borderId="0" xfId="0" applyNumberFormat="1" applyFont="1" applyFill="1" applyBorder="1"/>
    <x:xf numFmtId="201" fontId="9" fillId="5" borderId="0" xfId="0" applyNumberFormat="1" applyFont="1" applyFill="1" applyBorder="1" applyAlignment="1">
      <x:alignment horizontal="center"/>
    </x:xf>
    <x:xf numFmtId="201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201" fontId="9" fillId="5" borderId="1" xfId="0" applyNumberFormat="1" applyFont="1" applyFill="1" applyBorder="1"/>
    <x:xf numFmtId="201" fontId="9" fillId="5" borderId="1" xfId="0" applyNumberFormat="1" applyFont="1" applyFill="1" applyBorder="1" applyAlignment="1">
      <x:alignment horizontal="center"/>
    </x:xf>
    <x:xf numFmtId="201" fontId="9" fillId="5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201" fontId="11" fillId="5" borderId="0" xfId="0" applyNumberFormat="1" applyFont="1" applyFill="1" applyBorder="1"/>
    <x:xf numFmtId="201" fontId="11" fillId="5" borderId="0" xfId="0" applyNumberFormat="1" applyFont="1" applyFill="1" applyBorder="1" applyAlignment="1">
      <x:alignment horizontal="center"/>
    </x:xf>
    <x:xf numFmtId="201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/>
    <x:xf numFmtId="201" fontId="11" fillId="5" borderId="1" xfId="0" applyNumberFormat="1" applyFont="1" applyFill="1" applyBorder="1"/>
    <x:xf numFmtId="201" fontId="11" fillId="5" borderId="1" xfId="0" applyNumberFormat="1" applyFont="1" applyFill="1" applyBorder="1" applyAlignment="1">
      <x:alignment horizontal="center"/>
    </x:xf>
    <x:xf numFmtId="201" fontId="11" fillId="5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horizontal="center"/>
    </x:xf>
    <x:xf numFmtId="0" fontId="12" fillId="9" borderId="1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201" fontId="13" fillId="5" borderId="0" xfId="0" applyNumberFormat="1" applyFont="1" applyFill="1" applyBorder="1"/>
    <x:xf numFmtId="201" fontId="13" fillId="5" borderId="0" xfId="0" applyNumberFormat="1" applyFont="1" applyFill="1" applyBorder="1" applyAlignment="1">
      <x:alignment horizontal="center"/>
    </x:xf>
    <x:xf numFmtId="201" fontId="13" fillId="5" borderId="0" xfId="0" applyNumberFormat="1" applyFont="1" applyFill="1" applyBorder="1" applyAlignment="1">
      <x:alignment horizontal="center" vertical="center"/>
    </x:xf>
    <x:xf numFmtId="0" fontId="13" fillId="5" borderId="1" xfId="0" applyNumberFormat="1" applyFont="1" applyFill="1" applyBorder="1"/>
    <x:xf numFmtId="201" fontId="13" fillId="5" borderId="1" xfId="0" applyNumberFormat="1" applyFont="1" applyFill="1" applyBorder="1"/>
    <x:xf numFmtId="201" fontId="13" fillId="5" borderId="1" xfId="0" applyNumberFormat="1" applyFont="1" applyFill="1" applyBorder="1" applyAlignment="1">
      <x:alignment horizontal="center"/>
    </x:xf>
    <x:xf numFmtId="201" fontId="13" fillId="5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14" fillId="10" borderId="1" xfId="0" applyNumberFormat="1" applyFont="1" applyFill="1" applyBorder="1"/>
    <x:xf numFmtId="0" fontId="14" fillId="10" borderId="1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horizontal="center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5" fillId="5" borderId="1" xfId="0" applyNumberFormat="1" applyFont="1" applyFill="1" applyBorder="1"/>
    <x:xf numFmtId="0" fontId="15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horizontal="center" wrapText="1"/>
    </x:xf>
    <x:xf numFmtId="0" fontId="15" fillId="5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left"/>
    </x:xf>
    <x:xf numFmtId="0" fontId="5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horizontal="left"/>
    </x:xf>
    <x:xf numFmtId="0" fontId="5" fillId="11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 vertic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horizontal="center"/>
    </x:xf>
    <x:xf numFmtId="202" fontId="7" fillId="13" borderId="0" xfId="0" applyNumberFormat="1" applyFont="1" applyFill="1" applyBorder="1" applyAlignment="1">
      <x:alignment horizontal="center" vertical="center"/>
    </x:xf>
    <x:xf numFmtId="201" fontId="9" fillId="13" borderId="0" xfId="0" applyNumberFormat="1" applyFont="1" applyFill="1" applyBorder="1" applyAlignment="1">
      <x:alignment horizontal="center" vertical="center"/>
    </x:xf>
    <x:xf numFmtId="201" fontId="11" fillId="13" borderId="0" xfId="0" applyNumberFormat="1" applyFont="1" applyFill="1" applyBorder="1" applyAlignment="1">
      <x:alignment horizontal="center" vertical="center"/>
    </x:xf>
    <x:xf numFmtId="201" fontId="13" fillId="13" borderId="0" xfId="0" applyNumberFormat="1" applyFont="1" applyFill="1" applyBorder="1" applyAlignment="1">
      <x:alignment horizontal="center" vertical="center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horizontal="left" vertical="center"/>
    </x:xf>
    <x:xf numFmtId="0" fontId="1" fillId="13" borderId="0" xfId="0" applyNumberFormat="1" applyFont="1" applyFill="1" applyBorder="1"/>
    <x:xf numFmtId="201" fontId="0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 applyAlignment="1">
      <x:alignment horizontal="left"/>
    </x:xf>
    <x:xf numFmtId="0" fontId="0" fillId="13" borderId="1" xfId="0" applyNumberFormat="1" applyFont="1" applyFill="1" applyBorder="1"/>
    <x:xf numFmtId="0" fontId="6" fillId="13" borderId="1" xfId="0" applyNumberFormat="1" applyFont="1" applyFill="1" applyBorder="1" applyAlignment="1">
      <x:alignment horizontal="center" vertical="center"/>
    </x:xf>
    <x:xf numFmtId="0" fontId="8" fillId="13" borderId="1" xfId="0" applyNumberFormat="1" applyFont="1" applyFill="1" applyBorder="1" applyAlignment="1">
      <x:alignment horizontal="center" vertical="center"/>
    </x:xf>
    <x:xf numFmtId="0" fontId="10" fillId="13" borderId="1" xfId="0" applyNumberFormat="1" applyFont="1" applyFill="1" applyBorder="1" applyAlignment="1">
      <x:alignment horizontal="center" vertical="center"/>
    </x:xf>
    <x:xf numFmtId="0" fontId="12" fillId="13" borderId="1" xfId="0" applyNumberFormat="1" applyFont="1" applyFill="1" applyBorder="1" applyAlignment="1">
      <x:alignment horizontal="center" vertical="center"/>
    </x:xf>
    <x:xf numFmtId="0" fontId="14" fillId="13" borderId="1" xfId="0" applyNumberFormat="1" applyFont="1" applyFill="1" applyBorder="1" applyAlignment="1">
      <x:alignment horizontal="center"/>
    </x:xf>
    <x:xf numFmtId="202" fontId="7" fillId="13" borderId="1" xfId="0" applyNumberFormat="1" applyFont="1" applyFill="1" applyBorder="1" applyAlignment="1">
      <x:alignment horizontal="center" vertical="center"/>
    </x:xf>
    <x:xf numFmtId="201" fontId="9" fillId="13" borderId="1" xfId="0" applyNumberFormat="1" applyFont="1" applyFill="1" applyBorder="1" applyAlignment="1">
      <x:alignment horizontal="center" vertical="center"/>
    </x:xf>
    <x:xf numFmtId="201" fontId="11" fillId="13" borderId="1" xfId="0" applyNumberFormat="1" applyFont="1" applyFill="1" applyBorder="1" applyAlignment="1">
      <x:alignment horizontal="center" vertical="center"/>
    </x:xf>
    <x:xf numFmtId="201" fontId="13" fillId="13" borderId="1" xfId="0" applyNumberFormat="1" applyFont="1" applyFill="1" applyBorder="1" applyAlignment="1">
      <x:alignment horizontal="center" vertical="center"/>
    </x:xf>
    <x:xf numFmtId="0" fontId="15" fillId="13" borderId="1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horizontal="left" vertical="center"/>
    </x:xf>
    <x:xf numFmtId="0" fontId="1" fillId="13" borderId="1" xfId="0" applyNumberFormat="1" applyFont="1" applyFill="1" applyBorder="1"/>
    <x:xf numFmtId="201" fontId="0" fillId="13" borderId="1" xfId="0" applyNumberFormat="1" applyFont="1" applyFill="1" applyBorder="1"/>
    <x:xf numFmtId="0" fontId="5" fillId="13" borderId="1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8aa839d7d4f87" /><Relationship Type="http://schemas.openxmlformats.org/officeDocument/2006/relationships/theme" Target="/xl/theme/theme1.xml" Id="R5d7427beff974d18" /><Relationship Type="http://schemas.openxmlformats.org/officeDocument/2006/relationships/sharedStrings" Target="/xl/sharedStrings.xml" Id="R15dc7719950d4685" /><Relationship Type="http://schemas.openxmlformats.org/officeDocument/2006/relationships/worksheet" Target="/xl/worksheets/sheet1.xml" Id="Reeaaf8cb08a14d4e" /><Relationship Type="http://schemas.openxmlformats.org/officeDocument/2006/relationships/worksheet" Target="/xl/worksheets/sheet2.xml" Id="R3f590e9bc268463c" /><Relationship Type="http://schemas.openxmlformats.org/officeDocument/2006/relationships/worksheet" Target="/xl/worksheets/sheet3.xml" Id="R52a992b84b2e4c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b09f76233d402b" /><Relationship Type="http://schemas.openxmlformats.org/officeDocument/2006/relationships/chart" Target="/xl/drawings/charts/chart2.xml" Id="Rfc73c8d39b5e4785" /><Relationship Type="http://schemas.openxmlformats.org/officeDocument/2006/relationships/chart" Target="/xl/drawings/charts/chart3.xml" Id="Rfde404c72f504408" /><Relationship Type="http://schemas.openxmlformats.org/officeDocument/2006/relationships/chart" Target="/xl/drawings/charts/chart4.xml" Id="R798e4b2eed7142b1" /><Relationship Type="http://schemas.openxmlformats.org/officeDocument/2006/relationships/chart" Target="/xl/drawings/charts/chart5.xml" Id="R845cee59e3c24e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Marks by Subject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Average Marks</c:v>
          </c:tx>
          <c:cat>
            <c:strRef>
              <c:f>'Chart Data'!$G$2:$G$6</c:f>
              <c:strCache>
                <c:ptCount val="0"/>
              </c:strCache>
            </c:strRef>
          </c:cat>
          <c:val>
            <c:numRef>
              <c:f>'Chart Data'!$H$2:$H$6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Grade Distribution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'Chart Data'!$A$2:$A$7</c:f>
              <c:strCache>
                <c:ptCount val="0"/>
              </c:strCache>
            </c:strRef>
          </c:cat>
          <c:val>
            <c:numRef>
              <c:f>'Chart Data'!$B$2:$B$7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Pass vs Fail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'Chart Data'!$D$2:$D$3</c:f>
              <c:strCache>
                <c:ptCount val="0"/>
              </c:strCache>
            </c:strRef>
          </c:cat>
          <c:val>
            <c:numRef>
              <c:f>'Chart Data'!$E$2:$E$3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Percentage Across Assessments</a:t>
            </a:r>
          </a:p>
        </c:rich>
      </c:tx>
    </c:title>
    <c:plotArea>
      <c:lineChart>
        <c:grouping val="standard"/>
        <c:ser>
          <c:idx val="0"/>
          <c:order val="0"/>
          <c:tx>
            <c:v>Average %</c:v>
          </c:tx>
          <c:marker>
            <c:symbol val="none"/>
          </c:marker>
          <c:cat>
            <c:strRef>
              <c:f>'Chart Data'!$M$2:$M$6</c:f>
              <c:strCache>
                <c:ptCount val="0"/>
              </c:strCache>
            </c:strRef>
          </c:cat>
          <c:val>
            <c:numRef>
              <c:f>'Chart Data'!$N$2:$N$6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% by Section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Average %</c:v>
          </c:tx>
          <c:cat>
            <c:strRef>
              <c:f>'Chart Data'!$J$2:$J$3</c:f>
              <c:strCache>
                <c:ptCount val="0"/>
              </c:strCache>
            </c:strRef>
          </c:cat>
          <c:val>
            <c:numRef>
              <c:f>'Chart Data'!$K$2:$K$3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b09f76233d402b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3c8d39b5e4785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e404c72f504408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8e4b2eed7142b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5cee59e3c24e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ResultData" displayName="StudentResultData" ref="A1:M51" headerRowCount="1" totalsRowCount="0" totalsRowShown="0">
  <x:tableColumns count="13">
    <x:tableColumn id="1" name="Roll No"/>
    <x:tableColumn id="2" name="Student Name"/>
    <x:tableColumn id="3" name="Section"/>
    <x:tableColumn id="4" name="Mathematics"/>
    <x:tableColumn id="5" name="Physics"/>
    <x:tableColumn id="6" name="Chemistry"/>
    <x:tableColumn id="7" name="English"/>
    <x:tableColumn id="8" name="Computer Science"/>
    <x:tableColumn id="9" name="Attendance %"/>
    <x:tableColumn id="10" name="Total"/>
    <x:tableColumn id="11" name="Percentage"/>
    <x:tableColumn id="12" name="Grade"/>
    <x:tableColumn id="13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41790d573741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f1d1ea3265417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3" t="str">
        <x:v>STUDENT RESULT ANALYTICS • 2026</x:v>
      </x:c>
    </x:row>
    <x:row r="3">
      <x:c r="A3" s="30" t="str">
        <x:v>Class XII • Academic Performance Overview</x:v>
      </x:c>
    </x:row>
    <x:row r="4">
      <x:c r="A4" s="131"/>
      <x:c r="B4" s="131"/>
      <x:c r="C4" s="131"/>
      <x:c r="D4" s="131"/>
      <x:c r="E4" s="131"/>
      <x:c r="F4" s="131"/>
      <x:c r="G4" s="131"/>
      <x:c r="H4" s="131"/>
      <x:c r="I4" s="131"/>
      <x:c r="J4" s="131"/>
      <x:c r="K4" s="131"/>
      <x:c r="L4" s="131"/>
      <x:c r="M4" s="131"/>
      <x:c r="N4" s="131"/>
    </x:row>
    <x:row r="5">
      <x:c r="A5" s="132" t="str">
        <x:v>TOTAL STUDENTS</x:v>
      </x:c>
      <x:c r="B5" s="131"/>
      <x:c r="C5" s="131"/>
      <x:c r="D5" s="133" t="str">
        <x:v>PASS RATE</x:v>
      </x:c>
      <x:c r="E5" s="131"/>
      <x:c r="F5" s="131"/>
      <x:c r="G5" s="134" t="str">
        <x:v>CLASS AVERAGE</x:v>
      </x:c>
      <x:c r="H5" s="131"/>
      <x:c r="I5" s="131"/>
      <x:c r="J5" s="135" t="str">
        <x:v>TOP SCORE</x:v>
      </x:c>
      <x:c r="K5" s="131"/>
      <x:c r="L5" s="131"/>
      <x:c r="M5" s="136" t="str">
        <x:v>TOP PERFORMER</x:v>
      </x:c>
      <x:c r="N5" s="136"/>
    </x:row>
    <x:row r="6">
      <x:c r="A6" s="137" t="n">
        <x:f>COUNTA('Student Data'!$B$2:$B$51)</x:f>
        <x:v>50</x:v>
      </x:c>
      <x:c r="B6" s="131"/>
      <x:c r="C6" s="131"/>
      <x:c r="D6" s="138" t="n">
        <x:f>COUNTIF('Student Data'!$M$2:$M$51,"Pass")/COUNTA('Student Data'!$B$2:$B$51)</x:f>
        <x:v>0.98</x:v>
      </x:c>
      <x:c r="E6" s="131"/>
      <x:c r="F6" s="131"/>
      <x:c r="G6" s="139" t="n">
        <x:f>AVERAGE('Student Data'!$K$2:$K$51)</x:f>
        <x:v>0.6976400000000001</x:v>
      </x:c>
      <x:c r="H6" s="131"/>
      <x:c r="I6" s="131"/>
      <x:c r="J6" s="140" t="n">
        <x:f>MAX('Student Data'!$K$2:$K$51)</x:f>
        <x:v>0.896</x:v>
      </x:c>
      <x:c r="K6" s="131"/>
      <x:c r="L6" s="131"/>
      <x:c r="M6" s="141" t="str">
        <x:f>INDEX('Student Data'!$B$2:$B$51,MATCH(MAX('Student Data'!$K$2:$K$51),'Student Data'!$K$2:$K$51,0))</x:f>
        <x:v>Shreya Gupta</x:v>
      </x:c>
      <x:c r="N6" s="141"/>
    </x:row>
    <x:row r="7">
      <x:c r="A7" s="131"/>
      <x:c r="B7" s="131"/>
      <x:c r="C7" s="131"/>
      <x:c r="D7" s="131"/>
      <x:c r="E7" s="131"/>
      <x:c r="F7" s="131"/>
      <x:c r="G7" s="131"/>
      <x:c r="H7" s="131"/>
      <x:c r="I7" s="131"/>
      <x:c r="J7" s="131"/>
      <x:c r="K7" s="131"/>
      <x:c r="L7" s="131"/>
      <x:c r="M7" s="141"/>
      <x:c r="N7" s="141"/>
    </x:row>
    <x:row r="8">
      <x:c r="A8" s="131"/>
      <x:c r="B8" s="131"/>
      <x:c r="C8" s="131"/>
      <x:c r="D8" s="131"/>
      <x:c r="E8" s="131"/>
      <x:c r="F8" s="131"/>
      <x:c r="G8" s="131"/>
      <x:c r="H8" s="131"/>
      <x:c r="I8" s="131"/>
      <x:c r="J8" s="131"/>
      <x:c r="K8" s="131"/>
      <x:c r="L8" s="131"/>
      <x:c r="M8" s="131"/>
      <x:c r="N8" s="131"/>
    </x:row>
    <x:row r="9">
      <x:c r="A9" s="142" t="str">
        <x:v>SUBJECT PERFORMANCE</x:v>
      </x:c>
      <x:c r="B9" s="142" t="str">
        <x:v>SUBJECT PERFORMANCE</x:v>
      </x:c>
      <x:c r="C9" s="142" t="str">
        <x:v>SUBJECT PERFORMANCE</x:v>
      </x:c>
      <x:c r="D9" s="142" t="str">
        <x:v>SUBJECT PERFORMANCE</x:v>
      </x:c>
      <x:c r="E9" s="142" t="str">
        <x:v>SUBJECT PERFORMANCE</x:v>
      </x:c>
      <x:c r="F9" s="142" t="str">
        <x:v>SUBJECT PERFORMANCE</x:v>
      </x:c>
      <x:c r="G9" s="142" t="str">
        <x:v>GRADE MIX</x:v>
      </x:c>
      <x:c r="H9" s="142" t="str">
        <x:v>GRADE MIX</x:v>
      </x:c>
      <x:c r="I9" s="142" t="str">
        <x:v>GRADE MIX</x:v>
      </x:c>
      <x:c r="J9" s="142" t="str">
        <x:v>GRADE MIX</x:v>
      </x:c>
      <x:c r="K9" s="142" t="str">
        <x:v>RESULT STATUS</x:v>
      </x:c>
      <x:c r="L9" s="142" t="str">
        <x:v>RESULT STATUS</x:v>
      </x:c>
      <x:c r="M9" s="142" t="str">
        <x:v>RESULT STATUS</x:v>
      </x:c>
      <x:c r="N9" s="142" t="str">
        <x:v>RESULT STATUS</x:v>
      </x:c>
    </x:row>
    <x:row r="10">
      <x:c r="A10" s="131"/>
      <x:c r="B10" s="131"/>
      <x:c r="C10" s="131"/>
      <x:c r="D10" s="131"/>
      <x:c r="E10" s="131"/>
      <x:c r="F10" s="131"/>
      <x:c r="G10" s="131"/>
      <x:c r="H10" s="131"/>
      <x:c r="I10" s="131"/>
      <x:c r="J10" s="131"/>
      <x:c r="K10" s="131"/>
      <x:c r="L10" s="131"/>
      <x:c r="M10" s="131"/>
      <x:c r="N10" s="131"/>
    </x:row>
    <x:row r="11">
      <x:c r="A11" s="131"/>
      <x:c r="B11" s="131"/>
      <x:c r="C11" s="131"/>
      <x:c r="D11" s="131"/>
      <x:c r="E11" s="131"/>
      <x:c r="F11" s="131"/>
      <x:c r="G11" s="131"/>
      <x:c r="H11" s="131"/>
      <x:c r="I11" s="131"/>
      <x:c r="J11" s="131"/>
      <x:c r="K11" s="131"/>
      <x:c r="L11" s="131"/>
      <x:c r="M11" s="131"/>
      <x:c r="N11" s="131"/>
    </x:row>
    <x:row r="12">
      <x:c r="A12" s="131"/>
      <x:c r="B12" s="131"/>
      <x:c r="C12" s="131"/>
      <x:c r="D12" s="131"/>
      <x:c r="E12" s="131"/>
      <x:c r="F12" s="131"/>
      <x:c r="G12" s="131"/>
      <x:c r="H12" s="131"/>
      <x:c r="I12" s="131"/>
      <x:c r="J12" s="131"/>
      <x:c r="K12" s="131"/>
      <x:c r="L12" s="131"/>
      <x:c r="M12" s="131"/>
      <x:c r="N12" s="131"/>
    </x:row>
    <x:row r="13">
      <x:c r="A13" s="131"/>
      <x:c r="B13" s="131"/>
      <x:c r="C13" s="131"/>
      <x:c r="D13" s="131"/>
      <x:c r="E13" s="131"/>
      <x:c r="F13" s="131"/>
      <x:c r="G13" s="131"/>
      <x:c r="H13" s="131"/>
      <x:c r="I13" s="131"/>
      <x:c r="J13" s="131"/>
      <x:c r="K13" s="131"/>
      <x:c r="L13" s="131"/>
      <x:c r="M13" s="131"/>
      <x:c r="N13" s="131"/>
    </x:row>
    <x:row r="14">
      <x:c r="A14" s="131"/>
      <x:c r="B14" s="131"/>
      <x:c r="C14" s="131"/>
      <x:c r="D14" s="131"/>
      <x:c r="E14" s="131"/>
      <x:c r="F14" s="131"/>
      <x:c r="G14" s="131"/>
      <x:c r="H14" s="131"/>
      <x:c r="I14" s="131"/>
      <x:c r="J14" s="131"/>
      <x:c r="K14" s="131"/>
      <x:c r="L14" s="131"/>
      <x:c r="M14" s="131"/>
      <x:c r="N14" s="131"/>
    </x:row>
    <x:row r="15">
      <x:c r="A15" s="131"/>
      <x:c r="B15" s="131"/>
      <x:c r="C15" s="131"/>
      <x:c r="D15" s="131"/>
      <x:c r="E15" s="131"/>
      <x:c r="F15" s="131"/>
      <x:c r="G15" s="131"/>
      <x:c r="H15" s="131"/>
      <x:c r="I15" s="131"/>
      <x:c r="J15" s="131"/>
      <x:c r="K15" s="131"/>
      <x:c r="L15" s="131"/>
      <x:c r="M15" s="131"/>
      <x:c r="N15" s="131"/>
    </x:row>
    <x:row r="16">
      <x:c r="A16" s="131"/>
      <x:c r="B16" s="131"/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</x:row>
    <x:row r="17">
      <x:c r="A17" s="131"/>
      <x:c r="B17" s="131"/>
      <x:c r="C17" s="131"/>
      <x:c r="D17" s="131"/>
      <x:c r="E17" s="131"/>
      <x:c r="F17" s="131"/>
      <x:c r="G17" s="131"/>
      <x:c r="H17" s="131"/>
      <x:c r="I17" s="131"/>
      <x:c r="J17" s="131"/>
      <x:c r="K17" s="131"/>
      <x:c r="L17" s="131"/>
      <x:c r="M17" s="131"/>
      <x:c r="N17" s="131"/>
    </x:row>
    <x:row r="18">
      <x:c r="A18" s="131"/>
      <x:c r="B18" s="131"/>
      <x:c r="C18" s="131"/>
      <x:c r="D18" s="131"/>
      <x:c r="E18" s="131"/>
      <x:c r="F18" s="131"/>
      <x:c r="G18" s="131"/>
      <x:c r="H18" s="131"/>
      <x:c r="I18" s="131"/>
      <x:c r="J18" s="131"/>
      <x:c r="K18" s="131"/>
      <x:c r="L18" s="131"/>
      <x:c r="M18" s="131"/>
      <x:c r="N18" s="131"/>
    </x:row>
    <x:row r="19">
      <x:c r="A19" s="131"/>
      <x:c r="B19" s="131"/>
      <x:c r="C19" s="131"/>
      <x:c r="D19" s="131"/>
      <x:c r="E19" s="131"/>
      <x:c r="F19" s="131"/>
      <x:c r="G19" s="131"/>
      <x:c r="H19" s="131"/>
      <x:c r="I19" s="131"/>
      <x:c r="J19" s="131"/>
      <x:c r="K19" s="131"/>
      <x:c r="L19" s="131"/>
      <x:c r="M19" s="131"/>
      <x:c r="N19" s="131"/>
    </x:row>
    <x:row r="20">
      <x:c r="A20" s="131"/>
      <x:c r="B20" s="131"/>
      <x:c r="C20" s="131"/>
      <x:c r="D20" s="131"/>
      <x:c r="E20" s="131"/>
      <x:c r="F20" s="131"/>
      <x:c r="G20" s="131"/>
      <x:c r="H20" s="131"/>
      <x:c r="I20" s="131"/>
      <x:c r="J20" s="131"/>
      <x:c r="K20" s="131"/>
      <x:c r="L20" s="131"/>
      <x:c r="M20" s="131"/>
      <x:c r="N20" s="131"/>
    </x:row>
    <x:row r="21">
      <x:c r="A21" s="131"/>
      <x:c r="B21" s="131"/>
      <x:c r="C21" s="131"/>
      <x:c r="D21" s="131"/>
      <x:c r="E21" s="131"/>
      <x:c r="F21" s="131"/>
      <x:c r="G21" s="131"/>
      <x:c r="H21" s="131"/>
      <x:c r="I21" s="131"/>
      <x:c r="J21" s="131"/>
      <x:c r="K21" s="131"/>
      <x:c r="L21" s="131"/>
      <x:c r="M21" s="131"/>
      <x:c r="N21" s="131"/>
    </x:row>
    <x:row r="22">
      <x:c r="A22" s="131"/>
      <x:c r="B22" s="131"/>
      <x:c r="C22" s="131"/>
      <x:c r="D22" s="131"/>
      <x:c r="E22" s="131"/>
      <x:c r="F22" s="131"/>
      <x:c r="G22" s="131"/>
      <x:c r="H22" s="131"/>
      <x:c r="I22" s="131"/>
      <x:c r="J22" s="131"/>
      <x:c r="K22" s="131"/>
      <x:c r="L22" s="131"/>
      <x:c r="M22" s="131"/>
      <x:c r="N22" s="131"/>
    </x:row>
    <x:row r="23">
      <x:c r="A23" s="131"/>
      <x:c r="B23" s="131"/>
      <x:c r="C23" s="131"/>
      <x:c r="D23" s="131"/>
      <x:c r="E23" s="131"/>
      <x:c r="F23" s="131"/>
      <x:c r="G23" s="131"/>
      <x:c r="H23" s="131"/>
      <x:c r="I23" s="131"/>
      <x:c r="J23" s="131"/>
      <x:c r="K23" s="131"/>
      <x:c r="L23" s="131"/>
      <x:c r="M23" s="131"/>
      <x:c r="N23" s="131"/>
    </x:row>
    <x:row r="24">
      <x:c r="A24" s="142" t="str">
        <x:v>ASSESSMENT TREND</x:v>
      </x:c>
      <x:c r="B24" s="142" t="str">
        <x:v>ASSESSMENT TREND</x:v>
      </x:c>
      <x:c r="C24" s="142" t="str">
        <x:v>ASSESSMENT TREND</x:v>
      </x:c>
      <x:c r="D24" s="142" t="str">
        <x:v>ASSESSMENT TREND</x:v>
      </x:c>
      <x:c r="E24" s="142" t="str">
        <x:v>ASSESSMENT TREND</x:v>
      </x:c>
      <x:c r="F24" s="142" t="str">
        <x:v>ASSESSMENT TREND</x:v>
      </x:c>
      <x:c r="G24" s="142" t="str">
        <x:v>SECTION COMPARISON</x:v>
      </x:c>
      <x:c r="H24" s="142" t="str">
        <x:v>SECTION COMPARISON</x:v>
      </x:c>
      <x:c r="I24" s="142" t="str">
        <x:v>SECTION COMPARISON</x:v>
      </x:c>
      <x:c r="J24" s="142" t="str">
        <x:v>SECTION COMPARISON</x:v>
      </x:c>
      <x:c r="K24" s="142" t="str">
        <x:v>ATTENDANCE INSIGHTS</x:v>
      </x:c>
      <x:c r="L24" s="142" t="str">
        <x:v>ATTENDANCE INSIGHTS</x:v>
      </x:c>
      <x:c r="M24" s="142" t="str">
        <x:v>ATTENDANCE INSIGHTS</x:v>
      </x:c>
      <x:c r="N24" s="142" t="str">
        <x:v>ATTENDANCE INSIGHTS</x:v>
      </x:c>
    </x:row>
    <x:row r="25">
      <x:c r="A25" s="131"/>
      <x:c r="B25" s="131"/>
      <x:c r="C25" s="131"/>
      <x:c r="D25" s="131"/>
      <x:c r="E25" s="131"/>
      <x:c r="F25" s="131"/>
      <x:c r="G25" s="131"/>
      <x:c r="H25" s="131"/>
      <x:c r="I25" s="131"/>
      <x:c r="J25" s="131"/>
      <x:c r="K25" s="143" t="str">
        <x:v>Metric</x:v>
      </x:c>
      <x:c r="L25" s="143" t="str">
        <x:v>Value</x:v>
      </x:c>
      <x:c r="M25" s="143" t="str"/>
      <x:c r="N25" s="143" t="str"/>
    </x:row>
    <x:row r="26">
      <x:c r="A26" s="131"/>
      <x:c r="B26" s="131"/>
      <x:c r="C26" s="131"/>
      <x:c r="D26" s="131"/>
      <x:c r="E26" s="131"/>
      <x:c r="F26" s="131"/>
      <x:c r="G26" s="131"/>
      <x:c r="H26" s="131"/>
      <x:c r="I26" s="131"/>
      <x:c r="J26" s="131"/>
      <x:c r="K26" s="131" t="str">
        <x:v>Average Attendance</x:v>
      </x:c>
      <x:c r="L26" s="144" t="n">
        <x:f>AVERAGE('Student Data'!$I$2:$I$51)/100</x:f>
        <x:v>0.853</x:v>
      </x:c>
      <x:c r="M26" s="131" t="str"/>
      <x:c r="N26" s="131" t="str"/>
    </x:row>
    <x:row r="27">
      <x:c r="A27" s="131"/>
      <x:c r="B27" s="131"/>
      <x:c r="C27" s="131"/>
      <x:c r="D27" s="131"/>
      <x:c r="E27" s="131"/>
      <x:c r="F27" s="131"/>
      <x:c r="G27" s="131"/>
      <x:c r="H27" s="131"/>
      <x:c r="I27" s="131"/>
      <x:c r="J27" s="131"/>
      <x:c r="K27" s="131" t="str">
        <x:v>Students ≥ 90%</x:v>
      </x:c>
      <x:c r="L27" s="131" t="n">
        <x:f>COUNTIF('Student Data'!$I$2:$I$51,"&gt;=90")</x:f>
        <x:v>16</x:v>
      </x:c>
      <x:c r="M27" s="131" t="str"/>
      <x:c r="N27" s="131" t="str"/>
    </x:row>
    <x:row r="28">
      <x:c r="A28" s="131"/>
      <x:c r="B28" s="131"/>
      <x:c r="C28" s="131"/>
      <x:c r="D28" s="131"/>
      <x:c r="E28" s="131"/>
      <x:c r="F28" s="131"/>
      <x:c r="G28" s="131"/>
      <x:c r="H28" s="131"/>
      <x:c r="I28" s="131"/>
      <x:c r="J28" s="131"/>
      <x:c r="K28" s="131" t="str">
        <x:v>Students &lt; 75%</x:v>
      </x:c>
      <x:c r="L28" s="131" t="n">
        <x:f>COUNTIF('Student Data'!$I$2:$I$51,"&lt;75")</x:f>
        <x:v>5</x:v>
      </x:c>
      <x:c r="M28" s="131" t="str"/>
      <x:c r="N28" s="131" t="str"/>
    </x:row>
    <x:row r="29">
      <x:c r="A29" s="131"/>
      <x:c r="B29" s="131"/>
      <x:c r="C29" s="131"/>
      <x:c r="D29" s="131"/>
      <x:c r="E29" s="131"/>
      <x:c r="F29" s="131"/>
      <x:c r="G29" s="131"/>
      <x:c r="H29" s="131"/>
      <x:c r="I29" s="131"/>
      <x:c r="J29" s="131"/>
      <x:c r="K29" s="131" t="str">
        <x:v>Highest Total</x:v>
      </x:c>
      <x:c r="L29" s="131" t="n">
        <x:f>MAX('Student Data'!$J$2:$J$51)</x:f>
        <x:v>448</x:v>
      </x:c>
      <x:c r="M29" s="131" t="str"/>
      <x:c r="N29" s="131" t="str"/>
    </x:row>
    <x:row r="30">
      <x:c r="A30" s="131"/>
      <x:c r="B30" s="131"/>
      <x:c r="C30" s="131"/>
      <x:c r="D30" s="131"/>
      <x:c r="E30" s="131"/>
      <x:c r="F30" s="131"/>
      <x:c r="G30" s="131"/>
      <x:c r="H30" s="131"/>
      <x:c r="I30" s="131"/>
      <x:c r="J30" s="131"/>
      <x:c r="K30" s="131" t="str">
        <x:v>Lowest Total</x:v>
      </x:c>
      <x:c r="L30" s="131" t="n">
        <x:f>MIN('Student Data'!$J$2:$J$51)</x:f>
        <x:v>240</x:v>
      </x:c>
      <x:c r="M30" s="131" t="str"/>
      <x:c r="N30" s="131" t="str"/>
    </x:row>
    <x:row r="31">
      <x:c r="A31" s="131"/>
      <x:c r="B31" s="131"/>
      <x:c r="C31" s="131"/>
      <x:c r="D31" s="131"/>
      <x:c r="E31" s="131"/>
      <x:c r="F31" s="131"/>
      <x:c r="G31" s="131"/>
      <x:c r="H31" s="131"/>
      <x:c r="I31" s="131"/>
      <x:c r="J31" s="131"/>
      <x:c r="K31" s="131"/>
      <x:c r="L31" s="131"/>
      <x:c r="M31" s="131"/>
      <x:c r="N31" s="131"/>
    </x:row>
    <x:row r="32">
      <x:c r="A32" s="131"/>
      <x:c r="B32" s="131"/>
      <x:c r="C32" s="131"/>
      <x:c r="D32" s="131"/>
      <x:c r="E32" s="131"/>
      <x:c r="F32" s="131"/>
      <x:c r="G32" s="131"/>
      <x:c r="H32" s="131"/>
      <x:c r="I32" s="131"/>
      <x:c r="J32" s="131"/>
      <x:c r="K32" s="131"/>
      <x:c r="L32" s="131"/>
      <x:c r="M32" s="131"/>
      <x:c r="N32" s="131"/>
    </x:row>
    <x:row r="33">
      <x:c r="A33" s="131"/>
      <x:c r="B33" s="131"/>
      <x:c r="C33" s="131"/>
      <x:c r="D33" s="131"/>
      <x:c r="E33" s="131"/>
      <x:c r="F33" s="131"/>
      <x:c r="G33" s="131"/>
      <x:c r="H33" s="131"/>
      <x:c r="I33" s="131"/>
      <x:c r="J33" s="131"/>
      <x:c r="K33" s="131"/>
      <x:c r="L33" s="131"/>
      <x:c r="M33" s="131"/>
      <x:c r="N33" s="131"/>
    </x:row>
    <x:row r="34">
      <x:c r="A34" s="131"/>
      <x:c r="B34" s="131"/>
      <x:c r="C34" s="131"/>
      <x:c r="D34" s="131"/>
      <x:c r="E34" s="131"/>
      <x:c r="F34" s="131"/>
      <x:c r="G34" s="131"/>
      <x:c r="H34" s="131"/>
      <x:c r="I34" s="131"/>
      <x:c r="J34" s="131"/>
      <x:c r="K34" s="131"/>
      <x:c r="L34" s="131"/>
      <x:c r="M34" s="131"/>
      <x:c r="N34" s="131"/>
    </x:row>
    <x:row r="35">
      <x:c r="A35" s="131"/>
      <x:c r="B35" s="131"/>
      <x:c r="C35" s="131"/>
      <x:c r="D35" s="131"/>
      <x:c r="E35" s="131"/>
      <x:c r="F35" s="131"/>
      <x:c r="G35" s="131"/>
      <x:c r="H35" s="131"/>
      <x:c r="I35" s="131"/>
      <x:c r="J35" s="131"/>
      <x:c r="K35" s="131"/>
      <x:c r="L35" s="131"/>
      <x:c r="M35" s="131"/>
      <x:c r="N35" s="131"/>
    </x:row>
    <x:row r="36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  <x:c r="L36" s="131"/>
      <x:c r="M36" s="131"/>
      <x:c r="N36" s="131"/>
    </x:row>
    <x:row r="37">
      <x:c r="A37" s="131"/>
      <x:c r="B37" s="131"/>
      <x:c r="C37" s="131"/>
      <x:c r="D37" s="131"/>
      <x:c r="E37" s="131"/>
      <x:c r="F37" s="131"/>
      <x:c r="G37" s="131"/>
      <x:c r="H37" s="131"/>
      <x:c r="I37" s="131"/>
      <x:c r="J37" s="131"/>
      <x:c r="K37" s="131"/>
      <x:c r="L37" s="131"/>
      <x:c r="M37" s="131"/>
      <x:c r="N37" s="131"/>
    </x:row>
    <x:row r="38">
      <x:c r="A38" s="131"/>
      <x:c r="B38" s="131"/>
      <x:c r="C38" s="131"/>
      <x:c r="D38" s="131"/>
      <x:c r="E38" s="131"/>
      <x:c r="F38" s="131"/>
      <x:c r="G38" s="131"/>
      <x:c r="H38" s="131"/>
      <x:c r="I38" s="131"/>
      <x:c r="J38" s="131"/>
      <x:c r="K38" s="131"/>
      <x:c r="L38" s="131"/>
      <x:c r="M38" s="131"/>
      <x:c r="N38" s="131"/>
    </x:row>
    <x:row r="39">
      <x:c r="A39" s="131"/>
      <x:c r="B39" s="131"/>
      <x:c r="C39" s="131"/>
      <x:c r="D39" s="131"/>
      <x:c r="E39" s="131"/>
      <x:c r="F39" s="131"/>
      <x:c r="G39" s="131"/>
      <x:c r="H39" s="131"/>
      <x:c r="I39" s="131"/>
      <x:c r="J39" s="131"/>
      <x:c r="K39" s="131"/>
      <x:c r="L39" s="131"/>
      <x:c r="M39" s="131"/>
      <x:c r="N39" s="131"/>
    </x:row>
    <x:row r="40">
      <x:c r="A40" s="3" t="str">
        <x:v>TOP 10 STUDENTS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145" t="str">
        <x:v>Rank</x:v>
      </x:c>
      <x:c r="B41" s="145" t="str">
        <x:v>Student</x:v>
      </x:c>
      <x:c r="C41" s="145" t="str">
        <x:v>Section</x:v>
      </x:c>
      <x:c r="D41" s="145" t="str">
        <x:v>Percentage</x:v>
      </x:c>
      <x:c r="E41" s="145" t="str">
        <x:v>Grade</x:v>
      </x:c>
      <x:c r="F41" s="145" t="str">
        <x:v>Attendance</x:v>
      </x:c>
      <x:c r="G41" s="131"/>
      <x:c r="H41" s="131"/>
      <x:c r="I41" s="131"/>
      <x:c r="J41" s="131"/>
      <x:c r="K41" s="131"/>
      <x:c r="L41" s="131"/>
      <x:c r="M41" s="131"/>
      <x:c r="N41" s="131"/>
    </x:row>
    <x:row r="42">
      <x:c r="A42" s="131" t="n">
        <x:v>1</x:v>
      </x:c>
      <x:c r="B42" s="146" t="str">
        <x:v>Shreya Gupta</x:v>
      </x:c>
      <x:c r="C42" s="131" t="str">
        <x:v>B</x:v>
      </x:c>
      <x:c r="D42" s="144" t="n">
        <x:v>0.896</x:v>
      </x:c>
      <x:c r="E42" s="131" t="str">
        <x:v>A</x:v>
      </x:c>
      <x:c r="F42" s="144" t="n">
        <x:v>0.85</x:v>
      </x:c>
      <x:c r="G42" s="131"/>
      <x:c r="H42" s="131"/>
      <x:c r="I42" s="131"/>
      <x:c r="J42" s="131"/>
      <x:c r="K42" s="131"/>
      <x:c r="L42" s="131"/>
      <x:c r="M42" s="131"/>
      <x:c r="N42" s="131"/>
    </x:row>
    <x:row r="43">
      <x:c r="A43" s="131" t="n">
        <x:v>2</x:v>
      </x:c>
      <x:c r="B43" s="146" t="str">
        <x:v>Sana Ali</x:v>
      </x:c>
      <x:c r="C43" s="131" t="str">
        <x:v>B</x:v>
      </x:c>
      <x:c r="D43" s="144" t="n">
        <x:v>0.892</x:v>
      </x:c>
      <x:c r="E43" s="131" t="str">
        <x:v>A</x:v>
      </x:c>
      <x:c r="F43" s="144" t="n">
        <x:v>0.76</x:v>
      </x:c>
      <x:c r="G43" s="131"/>
      <x:c r="H43" s="131"/>
      <x:c r="I43" s="131"/>
      <x:c r="J43" s="131"/>
      <x:c r="K43" s="131"/>
      <x:c r="L43" s="131"/>
      <x:c r="M43" s="131"/>
      <x:c r="N43" s="131"/>
    </x:row>
    <x:row r="44">
      <x:c r="A44" s="131" t="n">
        <x:v>3</x:v>
      </x:c>
      <x:c r="B44" s="146" t="str">
        <x:v>Vivek Arora</x:v>
      </x:c>
      <x:c r="C44" s="131" t="str">
        <x:v>B</x:v>
      </x:c>
      <x:c r="D44" s="144" t="n">
        <x:v>0.858</x:v>
      </x:c>
      <x:c r="E44" s="131" t="str">
        <x:v>A</x:v>
      </x:c>
      <x:c r="F44" s="144" t="n">
        <x:v>0.73</x:v>
      </x:c>
      <x:c r="G44" s="131"/>
      <x:c r="H44" s="131"/>
      <x:c r="I44" s="131"/>
      <x:c r="J44" s="131"/>
      <x:c r="K44" s="131"/>
      <x:c r="L44" s="131"/>
      <x:c r="M44" s="131"/>
      <x:c r="N44" s="131"/>
    </x:row>
    <x:row r="45">
      <x:c r="A45" s="131" t="n">
        <x:v>4</x:v>
      </x:c>
      <x:c r="B45" s="146" t="str">
        <x:v>Kavya Nair</x:v>
      </x:c>
      <x:c r="C45" s="131" t="str">
        <x:v>B</x:v>
      </x:c>
      <x:c r="D45" s="144" t="n">
        <x:v>0.84</x:v>
      </x:c>
      <x:c r="E45" s="131" t="str">
        <x:v>A</x:v>
      </x:c>
      <x:c r="F45" s="144" t="n">
        <x:v>0.99</x:v>
      </x:c>
      <x:c r="G45" s="131"/>
      <x:c r="H45" s="131"/>
      <x:c r="I45" s="131"/>
      <x:c r="J45" s="131"/>
      <x:c r="K45" s="131"/>
      <x:c r="L45" s="131"/>
      <x:c r="M45" s="131"/>
      <x:c r="N45" s="131"/>
    </x:row>
    <x:row r="46">
      <x:c r="A46" s="131" t="n">
        <x:v>5</x:v>
      </x:c>
      <x:c r="B46" s="146" t="str">
        <x:v>Vanshika Jain</x:v>
      </x:c>
      <x:c r="C46" s="131" t="str">
        <x:v>B</x:v>
      </x:c>
      <x:c r="D46" s="144" t="n">
        <x:v>0.828</x:v>
      </x:c>
      <x:c r="E46" s="131" t="str">
        <x:v>A</x:v>
      </x:c>
      <x:c r="F46" s="144" t="n">
        <x:v>0.75</x:v>
      </x:c>
      <x:c r="G46" s="131"/>
      <x:c r="H46" s="131"/>
      <x:c r="I46" s="131"/>
      <x:c r="J46" s="131"/>
      <x:c r="K46" s="131"/>
      <x:c r="L46" s="131"/>
      <x:c r="M46" s="131"/>
      <x:c r="N46" s="131"/>
    </x:row>
    <x:row r="47">
      <x:c r="A47" s="131" t="n">
        <x:v>6</x:v>
      </x:c>
      <x:c r="B47" s="146" t="str">
        <x:v>Manav Bansal</x:v>
      </x:c>
      <x:c r="C47" s="131" t="str">
        <x:v>A</x:v>
      </x:c>
      <x:c r="D47" s="144" t="n">
        <x:v>0.816</x:v>
      </x:c>
      <x:c r="E47" s="131" t="str">
        <x:v>A</x:v>
      </x:c>
      <x:c r="F47" s="144" t="n">
        <x:v>0.79</x:v>
      </x:c>
      <x:c r="G47" s="131"/>
      <x:c r="H47" s="131"/>
      <x:c r="I47" s="131"/>
      <x:c r="J47" s="131"/>
      <x:c r="K47" s="131"/>
      <x:c r="L47" s="131"/>
      <x:c r="M47" s="131"/>
      <x:c r="N47" s="131"/>
    </x:row>
    <x:row r="48">
      <x:c r="A48" s="131" t="n">
        <x:v>7</x:v>
      </x:c>
      <x:c r="B48" s="146" t="str">
        <x:v>Mansi Gupta</x:v>
      </x:c>
      <x:c r="C48" s="131" t="str">
        <x:v>B</x:v>
      </x:c>
      <x:c r="D48" s="144" t="n">
        <x:v>0.812</x:v>
      </x:c>
      <x:c r="E48" s="131" t="str">
        <x:v>A</x:v>
      </x:c>
      <x:c r="F48" s="144" t="n">
        <x:v>0.72</x:v>
      </x:c>
      <x:c r="G48" s="131"/>
      <x:c r="H48" s="131"/>
      <x:c r="I48" s="131"/>
      <x:c r="J48" s="131"/>
      <x:c r="K48" s="131"/>
      <x:c r="L48" s="131"/>
      <x:c r="M48" s="131"/>
      <x:c r="N48" s="131"/>
    </x:row>
    <x:row r="49">
      <x:c r="A49" s="131" t="n">
        <x:v>8</x:v>
      </x:c>
      <x:c r="B49" s="146" t="str">
        <x:v>Ritesh Verma</x:v>
      </x:c>
      <x:c r="C49" s="131" t="str">
        <x:v>B</x:v>
      </x:c>
      <x:c r="D49" s="144" t="n">
        <x:v>0.812</x:v>
      </x:c>
      <x:c r="E49" s="131" t="str">
        <x:v>A</x:v>
      </x:c>
      <x:c r="F49" s="144" t="n">
        <x:v>0.95</x:v>
      </x:c>
      <x:c r="G49" s="131"/>
      <x:c r="H49" s="131"/>
      <x:c r="I49" s="131"/>
      <x:c r="J49" s="131"/>
      <x:c r="K49" s="131"/>
      <x:c r="L49" s="131"/>
      <x:c r="M49" s="131"/>
      <x:c r="N49" s="131"/>
    </x:row>
    <x:row r="50">
      <x:c r="A50" s="131" t="n">
        <x:v>9</x:v>
      </x:c>
      <x:c r="B50" s="146" t="str">
        <x:v>Sonia Mehta</x:v>
      </x:c>
      <x:c r="C50" s="131" t="str">
        <x:v>B</x:v>
      </x:c>
      <x:c r="D50" s="144" t="n">
        <x:v>0.802</x:v>
      </x:c>
      <x:c r="E50" s="131" t="str">
        <x:v>A</x:v>
      </x:c>
      <x:c r="F50" s="144" t="n">
        <x:v>0.9</x:v>
      </x:c>
      <x:c r="G50" s="131"/>
      <x:c r="H50" s="131"/>
      <x:c r="I50" s="131"/>
      <x:c r="J50" s="131"/>
      <x:c r="K50" s="131"/>
      <x:c r="L50" s="131"/>
      <x:c r="M50" s="131"/>
      <x:c r="N50" s="131"/>
    </x:row>
    <x:row r="51">
      <x:c r="A51" s="131" t="n">
        <x:v>10</x:v>
      </x:c>
      <x:c r="B51" s="146" t="str">
        <x:v>Alisha Gupta</x:v>
      </x:c>
      <x:c r="C51" s="131" t="str">
        <x:v>A</x:v>
      </x:c>
      <x:c r="D51" s="144" t="n">
        <x:v>0.794</x:v>
      </x:c>
      <x:c r="E51" s="131" t="str">
        <x:v>B+</x:v>
      </x:c>
      <x:c r="F51" s="144" t="n">
        <x:v>0.96</x:v>
      </x:c>
      <x:c r="G51" s="131"/>
      <x:c r="H51" s="131"/>
      <x:c r="I51" s="131"/>
      <x:c r="J51" s="131"/>
      <x:c r="K51" s="131"/>
      <x:c r="L51" s="131"/>
      <x:c r="M51" s="131"/>
      <x:c r="N51" s="131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9:F9"/>
    <x:mergeCell ref="G9:J9"/>
    <x:mergeCell ref="K9:N9"/>
    <x:mergeCell ref="A24:F24"/>
    <x:mergeCell ref="G24:J24"/>
    <x:mergeCell ref="K24:N24"/>
    <x:mergeCell ref="A40:F40"/>
  </x:mergeCells>
  <x:pageMargins left="0.7" right="0.7" top="0.75" bottom="0.75" header="0.3" footer="0.3"/>
  <x:drawing xmlns:r="http://schemas.openxmlformats.org/officeDocument/2006/relationships" r:id="Rd641790d57374100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9" hidden="0" customWidth="1"/>
    <x:col min="4" max="4" width="12" hidden="0" customWidth="1"/>
    <x:col min="5" max="5" width="10" hidden="0" customWidth="1"/>
    <x:col min="6" max="6" width="12" hidden="0" customWidth="1"/>
    <x:col min="7" max="7" width="10" hidden="0" customWidth="1"/>
    <x:col min="8" max="8" width="17" hidden="0" customWidth="1"/>
    <x:col min="9" max="9" width="13" hidden="0" customWidth="1"/>
    <x:col min="10" max="10" width="10" hidden="0" customWidth="1"/>
    <x:col min="11" max="11" width="12" hidden="0" customWidth="1"/>
    <x:col min="12" max="12" width="9" hidden="0" customWidth="1"/>
    <x:col min="13" max="13" width="10" hidden="0" customWidth="1"/>
  </x:cols>
  <x:sheetData>
    <x:row r="1" ht="20" customHeight="1">
      <x:c r="A1" s="5" t="str">
        <x:v>Roll No</x:v>
      </x:c>
      <x:c r="B1" s="5" t="str">
        <x:v>Student Name</x:v>
      </x:c>
      <x:c r="C1" s="5" t="str">
        <x:v>Section</x:v>
      </x:c>
      <x:c r="D1" s="5" t="str">
        <x:v>Mathematics</x:v>
      </x:c>
      <x:c r="E1" s="5" t="str">
        <x:v>Physics</x:v>
      </x:c>
      <x:c r="F1" s="5" t="str">
        <x:v>Chemistry</x:v>
      </x:c>
      <x:c r="G1" s="5" t="str">
        <x:v>English</x:v>
      </x:c>
      <x:c r="H1" s="5" t="str">
        <x:v>Computer Science</x:v>
      </x:c>
      <x:c r="I1" s="5" t="str">
        <x:v>Attendance %</x:v>
      </x:c>
      <x:c r="J1" s="5" t="str">
        <x:v>Total</x:v>
      </x:c>
      <x:c r="K1" s="5" t="str">
        <x:v>Percentage</x:v>
      </x:c>
      <x:c r="L1" s="5" t="str">
        <x:v>Grade</x:v>
      </x:c>
      <x:c r="M1" s="5" t="str">
        <x:v>Result</x:v>
      </x:c>
    </x:row>
    <x:row r="2" ht="20" customHeight="1">
      <x:c r="A2" t="n">
        <x:v>1</x:v>
      </x:c>
      <x:c r="B2" t="str">
        <x:v>Aarav Sharma</x:v>
      </x:c>
      <x:c r="C2" t="str">
        <x:v>A</x:v>
      </x:c>
      <x:c r="D2" t="n">
        <x:v>51</x:v>
      </x:c>
      <x:c r="E2" t="n">
        <x:v>74</x:v>
      </x:c>
      <x:c r="F2" t="n">
        <x:v>59</x:v>
      </x:c>
      <x:c r="G2" t="n">
        <x:v>58</x:v>
      </x:c>
      <x:c r="H2" t="n">
        <x:v>58</x:v>
      </x:c>
      <x:c r="I2" s="10" t="n">
        <x:v>76</x:v>
      </x:c>
      <x:c r="J2" t="n">
        <x:f>SUM(D2:H2)</x:f>
        <x:v>300</x:v>
      </x:c>
      <x:c r="K2" s="12" t="n">
        <x:f>J2/500</x:f>
        <x:v>0.6</x:v>
      </x:c>
      <x:c r="L2" t="str">
        <x:f>IF(K2&gt;=90%,"A+",IF(K2&gt;=80%,"A",IF(K2&gt;=70%,"B+",IF(K2&gt;=60%,"B",IF(K2&gt;=50%,"C",IF(K2&gt;=40%,"D","F"))))))</x:f>
        <x:v>B</x:v>
      </x:c>
      <x:c r="M2" t="str">
        <x:f>IF(AND(D2&gt;=35,E2&gt;=35,F2&gt;=35,G2&gt;=35,H2&gt;=35),"Pass","Fail")</x:f>
        <x:v>Pass</x:v>
      </x:c>
    </x:row>
    <x:row r="3" ht="20" customHeight="1">
      <x:c r="A3" t="n">
        <x:v>2</x:v>
      </x:c>
      <x:c r="B3" t="str">
        <x:v>Aditya Verma</x:v>
      </x:c>
      <x:c r="C3" t="str">
        <x:v>A</x:v>
      </x:c>
      <x:c r="D3" t="n">
        <x:v>71</x:v>
      </x:c>
      <x:c r="E3" t="n">
        <x:v>73</x:v>
      </x:c>
      <x:c r="F3" t="n">
        <x:v>67</x:v>
      </x:c>
      <x:c r="G3" t="n">
        <x:v>52</x:v>
      </x:c>
      <x:c r="H3" t="n">
        <x:v>68</x:v>
      </x:c>
      <x:c r="I3" s="10" t="n">
        <x:v>85</x:v>
      </x:c>
      <x:c r="J3" t="n">
        <x:f>SUM(D3:H3)</x:f>
        <x:v>331</x:v>
      </x:c>
      <x:c r="K3" s="12" t="n">
        <x:f>J3/500</x:f>
        <x:v>0.662</x:v>
      </x:c>
      <x:c r="L3" t="str">
        <x:f>IF(K3&gt;=90%,"A+",IF(K3&gt;=80%,"A",IF(K3&gt;=70%,"B+",IF(K3&gt;=60%,"B",IF(K3&gt;=50%,"C",IF(K3&gt;=40%,"D","F"))))))</x:f>
        <x:v>B</x:v>
      </x:c>
      <x:c r="M3" t="str">
        <x:f>IF(AND(D3&gt;=35,E3&gt;=35,F3&gt;=35,G3&gt;=35,H3&gt;=35),"Pass","Fail")</x:f>
        <x:v>Pass</x:v>
      </x:c>
    </x:row>
    <x:row r="4" ht="20" customHeight="1">
      <x:c r="A4" t="n">
        <x:v>3</x:v>
      </x:c>
      <x:c r="B4" t="str">
        <x:v>Aisha Khan</x:v>
      </x:c>
      <x:c r="C4" t="str">
        <x:v>A</x:v>
      </x:c>
      <x:c r="D4" t="n">
        <x:v>46</x:v>
      </x:c>
      <x:c r="E4" t="n">
        <x:v>48</x:v>
      </x:c>
      <x:c r="F4" t="n">
        <x:v>52</x:v>
      </x:c>
      <x:c r="G4" t="n">
        <x:v>53</x:v>
      </x:c>
      <x:c r="H4" t="n">
        <x:v>62</x:v>
      </x:c>
      <x:c r="I4" s="10" t="n">
        <x:v>91</x:v>
      </x:c>
      <x:c r="J4" t="n">
        <x:f>SUM(D4:H4)</x:f>
        <x:v>261</x:v>
      </x:c>
      <x:c r="K4" s="12" t="n">
        <x:f>J4/500</x:f>
        <x:v>0.522</x:v>
      </x:c>
      <x:c r="L4" t="str">
        <x:f>IF(K4&gt;=90%,"A+",IF(K4&gt;=80%,"A",IF(K4&gt;=70%,"B+",IF(K4&gt;=60%,"B",IF(K4&gt;=50%,"C",IF(K4&gt;=40%,"D","F"))))))</x:f>
        <x:v>C</x:v>
      </x:c>
      <x:c r="M4" t="str">
        <x:f>IF(AND(D4&gt;=35,E4&gt;=35,F4&gt;=35,G4&gt;=35,H4&gt;=35),"Pass","Fail")</x:f>
        <x:v>Pass</x:v>
      </x:c>
    </x:row>
    <x:row r="5" ht="20" customHeight="1">
      <x:c r="A5" t="n">
        <x:v>4</x:v>
      </x:c>
      <x:c r="B5" t="str">
        <x:v>Akash Yadav</x:v>
      </x:c>
      <x:c r="C5" t="str">
        <x:v>A</x:v>
      </x:c>
      <x:c r="D5" t="n">
        <x:v>62</x:v>
      </x:c>
      <x:c r="E5" t="n">
        <x:v>51</x:v>
      </x:c>
      <x:c r="F5" t="n">
        <x:v>67</x:v>
      </x:c>
      <x:c r="G5" t="n">
        <x:v>65</x:v>
      </x:c>
      <x:c r="H5" t="n">
        <x:v>67</x:v>
      </x:c>
      <x:c r="I5" s="10" t="n">
        <x:v>89</x:v>
      </x:c>
      <x:c r="J5" t="n">
        <x:f>SUM(D5:H5)</x:f>
        <x:v>312</x:v>
      </x:c>
      <x:c r="K5" s="12" t="n">
        <x:f>J5/500</x:f>
        <x:v>0.624</x:v>
      </x:c>
      <x:c r="L5" t="str">
        <x:f>IF(K5&gt;=90%,"A+",IF(K5&gt;=80%,"A",IF(K5&gt;=70%,"B+",IF(K5&gt;=60%,"B",IF(K5&gt;=50%,"C",IF(K5&gt;=40%,"D","F"))))))</x:f>
        <x:v>B</x:v>
      </x:c>
      <x:c r="M5" t="str">
        <x:f>IF(AND(D5&gt;=35,E5&gt;=35,F5&gt;=35,G5&gt;=35,H5&gt;=35),"Pass","Fail")</x:f>
        <x:v>Pass</x:v>
      </x:c>
    </x:row>
    <x:row r="6" ht="20" customHeight="1">
      <x:c r="A6" t="n">
        <x:v>5</x:v>
      </x:c>
      <x:c r="B6" t="str">
        <x:v>Alisha Gupta</x:v>
      </x:c>
      <x:c r="C6" t="str">
        <x:v>A</x:v>
      </x:c>
      <x:c r="D6" t="n">
        <x:v>77</x:v>
      </x:c>
      <x:c r="E6" t="n">
        <x:v>84</x:v>
      </x:c>
      <x:c r="F6" t="n">
        <x:v>88</x:v>
      </x:c>
      <x:c r="G6" t="n">
        <x:v>78</x:v>
      </x:c>
      <x:c r="H6" t="n">
        <x:v>70</x:v>
      </x:c>
      <x:c r="I6" s="10" t="n">
        <x:v>96</x:v>
      </x:c>
      <x:c r="J6" t="n">
        <x:f>SUM(D6:H6)</x:f>
        <x:v>397</x:v>
      </x:c>
      <x:c r="K6" s="12" t="n">
        <x:f>J6/500</x:f>
        <x:v>0.794</x:v>
      </x:c>
      <x:c r="L6" t="str">
        <x:f>IF(K6&gt;=90%,"A+",IF(K6&gt;=80%,"A",IF(K6&gt;=70%,"B+",IF(K6&gt;=60%,"B",IF(K6&gt;=50%,"C",IF(K6&gt;=40%,"D","F"))))))</x:f>
        <x:v>B+</x:v>
      </x:c>
      <x:c r="M6" t="str">
        <x:f>IF(AND(D6&gt;=35,E6&gt;=35,F6&gt;=35,G6&gt;=35,H6&gt;=35),"Pass","Fail")</x:f>
        <x:v>Pass</x:v>
      </x:c>
    </x:row>
    <x:row r="7" ht="20" customHeight="1">
      <x:c r="A7" t="n">
        <x:v>6</x:v>
      </x:c>
      <x:c r="B7" t="str">
        <x:v>Ananya Singh</x:v>
      </x:c>
      <x:c r="C7" t="str">
        <x:v>A</x:v>
      </x:c>
      <x:c r="D7" t="n">
        <x:v>76</x:v>
      </x:c>
      <x:c r="E7" t="n">
        <x:v>67</x:v>
      </x:c>
      <x:c r="F7" t="n">
        <x:v>64</x:v>
      </x:c>
      <x:c r="G7" t="n">
        <x:v>62</x:v>
      </x:c>
      <x:c r="H7" t="n">
        <x:v>58</x:v>
      </x:c>
      <x:c r="I7" s="10" t="n">
        <x:v>78</x:v>
      </x:c>
      <x:c r="J7" t="n">
        <x:f>SUM(D7:H7)</x:f>
        <x:v>327</x:v>
      </x:c>
      <x:c r="K7" s="12" t="n">
        <x:f>J7/500</x:f>
        <x:v>0.654</x:v>
      </x:c>
      <x:c r="L7" t="str">
        <x:f>IF(K7&gt;=90%,"A+",IF(K7&gt;=80%,"A",IF(K7&gt;=70%,"B+",IF(K7&gt;=60%,"B",IF(K7&gt;=50%,"C",IF(K7&gt;=40%,"D","F"))))))</x:f>
        <x:v>B</x:v>
      </x:c>
      <x:c r="M7" t="str">
        <x:f>IF(AND(D7&gt;=35,E7&gt;=35,F7&gt;=35,G7&gt;=35,H7&gt;=35),"Pass","Fail")</x:f>
        <x:v>Pass</x:v>
      </x:c>
    </x:row>
    <x:row r="8" ht="20" customHeight="1">
      <x:c r="A8" t="n">
        <x:v>7</x:v>
      </x:c>
      <x:c r="B8" t="str">
        <x:v>Arjun Mehta</x:v>
      </x:c>
      <x:c r="C8" t="str">
        <x:v>A</x:v>
      </x:c>
      <x:c r="D8" t="n">
        <x:v>75</x:v>
      </x:c>
      <x:c r="E8" t="n">
        <x:v>67</x:v>
      </x:c>
      <x:c r="F8" t="n">
        <x:v>77</x:v>
      </x:c>
      <x:c r="G8" t="n">
        <x:v>68</x:v>
      </x:c>
      <x:c r="H8" t="n">
        <x:v>82</x:v>
      </x:c>
      <x:c r="I8" s="10" t="n">
        <x:v>99</x:v>
      </x:c>
      <x:c r="J8" t="n">
        <x:f>SUM(D8:H8)</x:f>
        <x:v>369</x:v>
      </x:c>
      <x:c r="K8" s="12" t="n">
        <x:f>J8/500</x:f>
        <x:v>0.738</x:v>
      </x:c>
      <x:c r="L8" t="str">
        <x:f>IF(K8&gt;=90%,"A+",IF(K8&gt;=80%,"A",IF(K8&gt;=70%,"B+",IF(K8&gt;=60%,"B",IF(K8&gt;=50%,"C",IF(K8&gt;=40%,"D","F"))))))</x:f>
        <x:v>B+</x:v>
      </x:c>
      <x:c r="M8" t="str">
        <x:f>IF(AND(D8&gt;=35,E8&gt;=35,F8&gt;=35,G8&gt;=35,H8&gt;=35),"Pass","Fail")</x:f>
        <x:v>Pass</x:v>
      </x:c>
    </x:row>
    <x:row r="9" ht="20" customHeight="1">
      <x:c r="A9" t="n">
        <x:v>8</x:v>
      </x:c>
      <x:c r="B9" t="str">
        <x:v>Avni Kapoor</x:v>
      </x:c>
      <x:c r="C9" t="str">
        <x:v>A</x:v>
      </x:c>
      <x:c r="D9" t="n">
        <x:v>85</x:v>
      </x:c>
      <x:c r="E9" t="n">
        <x:v>74</x:v>
      </x:c>
      <x:c r="F9" t="n">
        <x:v>67</x:v>
      </x:c>
      <x:c r="G9" t="n">
        <x:v>89</x:v>
      </x:c>
      <x:c r="H9" t="n">
        <x:v>80</x:v>
      </x:c>
      <x:c r="I9" s="10" t="n">
        <x:v>89</x:v>
      </x:c>
      <x:c r="J9" t="n">
        <x:f>SUM(D9:H9)</x:f>
        <x:v>395</x:v>
      </x:c>
      <x:c r="K9" s="12" t="n">
        <x:f>J9/500</x:f>
        <x:v>0.79</x:v>
      </x:c>
      <x:c r="L9" t="str">
        <x:f>IF(K9&gt;=90%,"A+",IF(K9&gt;=80%,"A",IF(K9&gt;=70%,"B+",IF(K9&gt;=60%,"B",IF(K9&gt;=50%,"C",IF(K9&gt;=40%,"D","F"))))))</x:f>
        <x:v>B+</x:v>
      </x:c>
      <x:c r="M9" t="str">
        <x:f>IF(AND(D9&gt;=35,E9&gt;=35,F9&gt;=35,G9&gt;=35,H9&gt;=35),"Pass","Fail")</x:f>
        <x:v>Pass</x:v>
      </x:c>
    </x:row>
    <x:row r="10" ht="20" customHeight="1">
      <x:c r="A10" t="n">
        <x:v>9</x:v>
      </x:c>
      <x:c r="B10" t="str">
        <x:v>Ayush Mishra</x:v>
      </x:c>
      <x:c r="C10" t="str">
        <x:v>A</x:v>
      </x:c>
      <x:c r="D10" t="n">
        <x:v>63</x:v>
      </x:c>
      <x:c r="E10" t="n">
        <x:v>53</x:v>
      </x:c>
      <x:c r="F10" t="n">
        <x:v>68</x:v>
      </x:c>
      <x:c r="G10" t="n">
        <x:v>60</x:v>
      </x:c>
      <x:c r="H10" t="n">
        <x:v>71</x:v>
      </x:c>
      <x:c r="I10" s="10" t="n">
        <x:v>91</x:v>
      </x:c>
      <x:c r="J10" t="n">
        <x:f>SUM(D10:H10)</x:f>
        <x:v>315</x:v>
      </x:c>
      <x:c r="K10" s="12" t="n">
        <x:f>J10/500</x:f>
        <x:v>0.63</x:v>
      </x:c>
      <x:c r="L10" t="str">
        <x:f>IF(K10&gt;=90%,"A+",IF(K10&gt;=80%,"A",IF(K10&gt;=70%,"B+",IF(K10&gt;=60%,"B",IF(K10&gt;=50%,"C",IF(K10&gt;=40%,"D","F"))))))</x:f>
        <x:v>B</x:v>
      </x:c>
      <x:c r="M10" t="str">
        <x:f>IF(AND(D10&gt;=35,E10&gt;=35,F10&gt;=35,G10&gt;=35,H10&gt;=35),"Pass","Fail")</x:f>
        <x:v>Pass</x:v>
      </x:c>
    </x:row>
    <x:row r="11" ht="20" customHeight="1">
      <x:c r="A11" t="n">
        <x:v>10</x:v>
      </x:c>
      <x:c r="B11" t="str">
        <x:v>Diya Patel</x:v>
      </x:c>
      <x:c r="C11" t="str">
        <x:v>A</x:v>
      </x:c>
      <x:c r="D11" t="n">
        <x:v>85</x:v>
      </x:c>
      <x:c r="E11" t="n">
        <x:v>73</x:v>
      </x:c>
      <x:c r="F11" t="n">
        <x:v>89</x:v>
      </x:c>
      <x:c r="G11" t="n">
        <x:v>69</x:v>
      </x:c>
      <x:c r="H11" t="n">
        <x:v>68</x:v>
      </x:c>
      <x:c r="I11" s="10" t="n">
        <x:v>93</x:v>
      </x:c>
      <x:c r="J11" t="n">
        <x:f>SUM(D11:H11)</x:f>
        <x:v>384</x:v>
      </x:c>
      <x:c r="K11" s="12" t="n">
        <x:f>J11/500</x:f>
        <x:v>0.768</x:v>
      </x:c>
      <x:c r="L11" t="str">
        <x:f>IF(K11&gt;=90%,"A+",IF(K11&gt;=80%,"A",IF(K11&gt;=70%,"B+",IF(K11&gt;=60%,"B",IF(K11&gt;=50%,"C",IF(K11&gt;=40%,"D","F"))))))</x:f>
        <x:v>B+</x:v>
      </x:c>
      <x:c r="M11" t="str">
        <x:f>IF(AND(D11&gt;=35,E11&gt;=35,F11&gt;=35,G11&gt;=35,H11&gt;=35),"Pass","Fail")</x:f>
        <x:v>Pass</x:v>
      </x:c>
    </x:row>
    <x:row r="12" ht="20" customHeight="1">
      <x:c r="A12" t="n">
        <x:v>11</x:v>
      </x:c>
      <x:c r="B12" t="str">
        <x:v>Dev Malhotra</x:v>
      </x:c>
      <x:c r="C12" t="str">
        <x:v>A</x:v>
      </x:c>
      <x:c r="D12" t="n">
        <x:v>82</x:v>
      </x:c>
      <x:c r="E12" t="n">
        <x:v>67</x:v>
      </x:c>
      <x:c r="F12" t="n">
        <x:v>60</x:v>
      </x:c>
      <x:c r="G12" t="n">
        <x:v>65</x:v>
      </x:c>
      <x:c r="H12" t="n">
        <x:v>61</x:v>
      </x:c>
      <x:c r="I12" s="10" t="n">
        <x:v>84</x:v>
      </x:c>
      <x:c r="J12" t="n">
        <x:f>SUM(D12:H12)</x:f>
        <x:v>335</x:v>
      </x:c>
      <x:c r="K12" s="12" t="n">
        <x:f>J12/500</x:f>
        <x:v>0.67</x:v>
      </x:c>
      <x:c r="L12" t="str">
        <x:f>IF(K12&gt;=90%,"A+",IF(K12&gt;=80%,"A",IF(K12&gt;=70%,"B+",IF(K12&gt;=60%,"B",IF(K12&gt;=50%,"C",IF(K12&gt;=40%,"D","F"))))))</x:f>
        <x:v>B</x:v>
      </x:c>
      <x:c r="M12" t="str">
        <x:f>IF(AND(D12&gt;=35,E12&gt;=35,F12&gt;=35,G12&gt;=35,H12&gt;=35),"Pass","Fail")</x:f>
        <x:v>Pass</x:v>
      </x:c>
    </x:row>
    <x:row r="13" ht="20" customHeight="1">
      <x:c r="A13" t="n">
        <x:v>12</x:v>
      </x:c>
      <x:c r="B13" t="str">
        <x:v>Fatima Noor</x:v>
      </x:c>
      <x:c r="C13" t="str">
        <x:v>A</x:v>
      </x:c>
      <x:c r="D13" t="n">
        <x:v>75</x:v>
      </x:c>
      <x:c r="E13" t="n">
        <x:v>35</x:v>
      </x:c>
      <x:c r="F13" t="n">
        <x:v>48</x:v>
      </x:c>
      <x:c r="G13" t="n">
        <x:v>66</x:v>
      </x:c>
      <x:c r="H13" t="n">
        <x:v>72</x:v>
      </x:c>
      <x:c r="I13" s="10" t="n">
        <x:v>83</x:v>
      </x:c>
      <x:c r="J13" t="n">
        <x:f>SUM(D13:H13)</x:f>
        <x:v>296</x:v>
      </x:c>
      <x:c r="K13" s="12" t="n">
        <x:f>J13/500</x:f>
        <x:v>0.592</x:v>
      </x:c>
      <x:c r="L13" t="str">
        <x:f>IF(K13&gt;=90%,"A+",IF(K13&gt;=80%,"A",IF(K13&gt;=70%,"B+",IF(K13&gt;=60%,"B",IF(K13&gt;=50%,"C",IF(K13&gt;=40%,"D","F"))))))</x:f>
        <x:v>C</x:v>
      </x:c>
      <x:c r="M13" t="str">
        <x:f>IF(AND(D13&gt;=35,E13&gt;=35,F13&gt;=35,G13&gt;=35,H13&gt;=35),"Pass","Fail")</x:f>
        <x:v>Pass</x:v>
      </x:c>
    </x:row>
    <x:row r="14" ht="20" customHeight="1">
      <x:c r="A14" t="n">
        <x:v>13</x:v>
      </x:c>
      <x:c r="B14" t="str">
        <x:v>Harsh Raj</x:v>
      </x:c>
      <x:c r="C14" t="str">
        <x:v>A</x:v>
      </x:c>
      <x:c r="D14" t="n">
        <x:v>83</x:v>
      </x:c>
      <x:c r="E14" t="n">
        <x:v>82</x:v>
      </x:c>
      <x:c r="F14" t="n">
        <x:v>81</x:v>
      </x:c>
      <x:c r="G14" t="n">
        <x:v>63</x:v>
      </x:c>
      <x:c r="H14" t="n">
        <x:v>80</x:v>
      </x:c>
      <x:c r="I14" s="10" t="n">
        <x:v>92</x:v>
      </x:c>
      <x:c r="J14" t="n">
        <x:f>SUM(D14:H14)</x:f>
        <x:v>389</x:v>
      </x:c>
      <x:c r="K14" s="12" t="n">
        <x:f>J14/500</x:f>
        <x:v>0.778</x:v>
      </x:c>
      <x:c r="L14" t="str">
        <x:f>IF(K14&gt;=90%,"A+",IF(K14&gt;=80%,"A",IF(K14&gt;=70%,"B+",IF(K14&gt;=60%,"B",IF(K14&gt;=50%,"C",IF(K14&gt;=40%,"D","F"))))))</x:f>
        <x:v>B+</x:v>
      </x:c>
      <x:c r="M14" t="str">
        <x:f>IF(AND(D14&gt;=35,E14&gt;=35,F14&gt;=35,G14&gt;=35,H14&gt;=35),"Pass","Fail")</x:f>
        <x:v>Pass</x:v>
      </x:c>
    </x:row>
    <x:row r="15" ht="20" customHeight="1">
      <x:c r="A15" t="n">
        <x:v>14</x:v>
      </x:c>
      <x:c r="B15" t="str">
        <x:v>Ishita Agarwal</x:v>
      </x:c>
      <x:c r="C15" t="str">
        <x:v>A</x:v>
      </x:c>
      <x:c r="D15" t="n">
        <x:v>71</x:v>
      </x:c>
      <x:c r="E15" t="n">
        <x:v>77</x:v>
      </x:c>
      <x:c r="F15" t="n">
        <x:v>61</x:v>
      </x:c>
      <x:c r="G15" t="n">
        <x:v>59</x:v>
      </x:c>
      <x:c r="H15" t="n">
        <x:v>68</x:v>
      </x:c>
      <x:c r="I15" s="10" t="n">
        <x:v>84</x:v>
      </x:c>
      <x:c r="J15" t="n">
        <x:f>SUM(D15:H15)</x:f>
        <x:v>336</x:v>
      </x:c>
      <x:c r="K15" s="12" t="n">
        <x:f>J15/500</x:f>
        <x:v>0.672</x:v>
      </x:c>
      <x:c r="L15" t="str">
        <x:f>IF(K15&gt;=90%,"A+",IF(K15&gt;=80%,"A",IF(K15&gt;=70%,"B+",IF(K15&gt;=60%,"B",IF(K15&gt;=50%,"C",IF(K15&gt;=40%,"D","F"))))))</x:f>
        <x:v>B</x:v>
      </x:c>
      <x:c r="M15" t="str">
        <x:f>IF(AND(D15&gt;=35,E15&gt;=35,F15&gt;=35,G15&gt;=35,H15&gt;=35),"Pass","Fail")</x:f>
        <x:v>Pass</x:v>
      </x:c>
    </x:row>
    <x:row r="16" ht="20" customHeight="1">
      <x:c r="A16" t="n">
        <x:v>15</x:v>
      </x:c>
      <x:c r="B16" t="str">
        <x:v>Kabir Khan</x:v>
      </x:c>
      <x:c r="C16" t="str">
        <x:v>A</x:v>
      </x:c>
      <x:c r="D16" t="n">
        <x:v>81</x:v>
      </x:c>
      <x:c r="E16" t="n">
        <x:v>83</x:v>
      </x:c>
      <x:c r="F16" t="n">
        <x:v>78</x:v>
      </x:c>
      <x:c r="G16" t="n">
        <x:v>68</x:v>
      </x:c>
      <x:c r="H16" t="n">
        <x:v>82</x:v>
      </x:c>
      <x:c r="I16" s="10" t="n">
        <x:v>82</x:v>
      </x:c>
      <x:c r="J16" t="n">
        <x:f>SUM(D16:H16)</x:f>
        <x:v>392</x:v>
      </x:c>
      <x:c r="K16" s="12" t="n">
        <x:f>J16/500</x:f>
        <x:v>0.784</x:v>
      </x:c>
      <x:c r="L16" t="str">
        <x:f>IF(K16&gt;=90%,"A+",IF(K16&gt;=80%,"A",IF(K16&gt;=70%,"B+",IF(K16&gt;=60%,"B",IF(K16&gt;=50%,"C",IF(K16&gt;=40%,"D","F"))))))</x:f>
        <x:v>B+</x:v>
      </x:c>
      <x:c r="M16" t="str">
        <x:f>IF(AND(D16&gt;=35,E16&gt;=35,F16&gt;=35,G16&gt;=35,H16&gt;=35),"Pass","Fail")</x:f>
        <x:v>Pass</x:v>
      </x:c>
    </x:row>
    <x:row r="17" ht="20" customHeight="1">
      <x:c r="A17" t="n">
        <x:v>16</x:v>
      </x:c>
      <x:c r="B17" t="str">
        <x:v>Karan Joshi</x:v>
      </x:c>
      <x:c r="C17" t="str">
        <x:v>A</x:v>
      </x:c>
      <x:c r="D17" t="n">
        <x:v>54</x:v>
      </x:c>
      <x:c r="E17" t="n">
        <x:v>48</x:v>
      </x:c>
      <x:c r="F17" t="n">
        <x:v>57</x:v>
      </x:c>
      <x:c r="G17" t="n">
        <x:v>59</x:v>
      </x:c>
      <x:c r="H17" t="n">
        <x:v>55</x:v>
      </x:c>
      <x:c r="I17" s="10" t="n">
        <x:v>74</x:v>
      </x:c>
      <x:c r="J17" t="n">
        <x:f>SUM(D17:H17)</x:f>
        <x:v>273</x:v>
      </x:c>
      <x:c r="K17" s="12" t="n">
        <x:f>J17/500</x:f>
        <x:v>0.546</x:v>
      </x:c>
      <x:c r="L17" t="str">
        <x:f>IF(K17&gt;=90%,"A+",IF(K17&gt;=80%,"A",IF(K17&gt;=70%,"B+",IF(K17&gt;=60%,"B",IF(K17&gt;=50%,"C",IF(K17&gt;=40%,"D","F"))))))</x:f>
        <x:v>C</x:v>
      </x:c>
      <x:c r="M17" t="str">
        <x:f>IF(AND(D17&gt;=35,E17&gt;=35,F17&gt;=35,G17&gt;=35,H17&gt;=35),"Pass","Fail")</x:f>
        <x:v>Pass</x:v>
      </x:c>
    </x:row>
    <x:row r="18" ht="20" customHeight="1">
      <x:c r="A18" t="n">
        <x:v>17</x:v>
      </x:c>
      <x:c r="B18" t="str">
        <x:v>Kiara Shah</x:v>
      </x:c>
      <x:c r="C18" t="str">
        <x:v>A</x:v>
      </x:c>
      <x:c r="D18" t="n">
        <x:v>75</x:v>
      </x:c>
      <x:c r="E18" t="n">
        <x:v>79</x:v>
      </x:c>
      <x:c r="F18" t="n">
        <x:v>67</x:v>
      </x:c>
      <x:c r="G18" t="n">
        <x:v>63</x:v>
      </x:c>
      <x:c r="H18" t="n">
        <x:v>77</x:v>
      </x:c>
      <x:c r="I18" s="10" t="n">
        <x:v>87</x:v>
      </x:c>
      <x:c r="J18" t="n">
        <x:f>SUM(D18:H18)</x:f>
        <x:v>361</x:v>
      </x:c>
      <x:c r="K18" s="12" t="n">
        <x:f>J18/500</x:f>
        <x:v>0.722</x:v>
      </x:c>
      <x:c r="L18" t="str">
        <x:f>IF(K18&gt;=90%,"A+",IF(K18&gt;=80%,"A",IF(K18&gt;=70%,"B+",IF(K18&gt;=60%,"B",IF(K18&gt;=50%,"C",IF(K18&gt;=40%,"D","F"))))))</x:f>
        <x:v>B+</x:v>
      </x:c>
      <x:c r="M18" t="str">
        <x:f>IF(AND(D18&gt;=35,E18&gt;=35,F18&gt;=35,G18&gt;=35,H18&gt;=35),"Pass","Fail")</x:f>
        <x:v>Pass</x:v>
      </x:c>
    </x:row>
    <x:row r="19" ht="20" customHeight="1">
      <x:c r="A19" t="n">
        <x:v>18</x:v>
      </x:c>
      <x:c r="B19" t="str">
        <x:v>Manav Bansal</x:v>
      </x:c>
      <x:c r="C19" t="str">
        <x:v>A</x:v>
      </x:c>
      <x:c r="D19" t="n">
        <x:v>96</x:v>
      </x:c>
      <x:c r="E19" t="n">
        <x:v>83</x:v>
      </x:c>
      <x:c r="F19" t="n">
        <x:v>73</x:v>
      </x:c>
      <x:c r="G19" t="n">
        <x:v>77</x:v>
      </x:c>
      <x:c r="H19" t="n">
        <x:v>79</x:v>
      </x:c>
      <x:c r="I19" s="10" t="n">
        <x:v>79</x:v>
      </x:c>
      <x:c r="J19" t="n">
        <x:f>SUM(D19:H19)</x:f>
        <x:v>408</x:v>
      </x:c>
      <x:c r="K19" s="12" t="n">
        <x:f>J19/500</x:f>
        <x:v>0.816</x:v>
      </x:c>
      <x:c r="L19" t="str">
        <x:f>IF(K19&gt;=90%,"A+",IF(K19&gt;=80%,"A",IF(K19&gt;=70%,"B+",IF(K19&gt;=60%,"B",IF(K19&gt;=50%,"C",IF(K19&gt;=40%,"D","F"))))))</x:f>
        <x:v>A</x:v>
      </x:c>
      <x:c r="M19" t="str">
        <x:f>IF(AND(D19&gt;=35,E19&gt;=35,F19&gt;=35,G19&gt;=35,H19&gt;=35),"Pass","Fail")</x:f>
        <x:v>Pass</x:v>
      </x:c>
    </x:row>
    <x:row r="20" ht="20" customHeight="1">
      <x:c r="A20" t="n">
        <x:v>19</x:v>
      </x:c>
      <x:c r="B20" t="str">
        <x:v>Meera Nair</x:v>
      </x:c>
      <x:c r="C20" t="str">
        <x:v>A</x:v>
      </x:c>
      <x:c r="D20" t="n">
        <x:v>83</x:v>
      </x:c>
      <x:c r="E20" t="n">
        <x:v>78</x:v>
      </x:c>
      <x:c r="F20" t="n">
        <x:v>73</x:v>
      </x:c>
      <x:c r="G20" t="n">
        <x:v>78</x:v>
      </x:c>
      <x:c r="H20" t="n">
        <x:v>72</x:v>
      </x:c>
      <x:c r="I20" s="10" t="n">
        <x:v>83</x:v>
      </x:c>
      <x:c r="J20" t="n">
        <x:f>SUM(D20:H20)</x:f>
        <x:v>384</x:v>
      </x:c>
      <x:c r="K20" s="12" t="n">
        <x:f>J20/500</x:f>
        <x:v>0.768</x:v>
      </x:c>
      <x:c r="L20" t="str">
        <x:f>IF(K20&gt;=90%,"A+",IF(K20&gt;=80%,"A",IF(K20&gt;=70%,"B+",IF(K20&gt;=60%,"B",IF(K20&gt;=50%,"C",IF(K20&gt;=40%,"D","F"))))))</x:f>
        <x:v>B+</x:v>
      </x:c>
      <x:c r="M20" t="str">
        <x:f>IF(AND(D20&gt;=35,E20&gt;=35,F20&gt;=35,G20&gt;=35,H20&gt;=35),"Pass","Fail")</x:f>
        <x:v>Pass</x:v>
      </x:c>
    </x:row>
    <x:row r="21" ht="20" customHeight="1">
      <x:c r="A21" t="n">
        <x:v>20</x:v>
      </x:c>
      <x:c r="B21" t="str">
        <x:v>Mohit Kumar</x:v>
      </x:c>
      <x:c r="C21" t="str">
        <x:v>A</x:v>
      </x:c>
      <x:c r="D21" t="n">
        <x:v>62</x:v>
      </x:c>
      <x:c r="E21" t="n">
        <x:v>74</x:v>
      </x:c>
      <x:c r="F21" t="n">
        <x:v>73</x:v>
      </x:c>
      <x:c r="G21" t="n">
        <x:v>60</x:v>
      </x:c>
      <x:c r="H21" t="n">
        <x:v>82</x:v>
      </x:c>
      <x:c r="I21" s="10" t="n">
        <x:v>73</x:v>
      </x:c>
      <x:c r="J21" t="n">
        <x:f>SUM(D21:H21)</x:f>
        <x:v>351</x:v>
      </x:c>
      <x:c r="K21" s="12" t="n">
        <x:f>J21/500</x:f>
        <x:v>0.702</x:v>
      </x:c>
      <x:c r="L21" t="str">
        <x:f>IF(K21&gt;=90%,"A+",IF(K21&gt;=80%,"A",IF(K21&gt;=70%,"B+",IF(K21&gt;=60%,"B",IF(K21&gt;=50%,"C",IF(K21&gt;=40%,"D","F"))))))</x:f>
        <x:v>B+</x:v>
      </x:c>
      <x:c r="M21" t="str">
        <x:f>IF(AND(D21&gt;=35,E21&gt;=35,F21&gt;=35,G21&gt;=35,H21&gt;=35),"Pass","Fail")</x:f>
        <x:v>Pass</x:v>
      </x:c>
    </x:row>
    <x:row r="22" ht="20" customHeight="1">
      <x:c r="A22" t="n">
        <x:v>21</x:v>
      </x:c>
      <x:c r="B22" t="str">
        <x:v>Nandini Rao</x:v>
      </x:c>
      <x:c r="C22" t="str">
        <x:v>A</x:v>
      </x:c>
      <x:c r="D22" t="n">
        <x:v>55</x:v>
      </x:c>
      <x:c r="E22" t="n">
        <x:v>71</x:v>
      </x:c>
      <x:c r="F22" t="n">
        <x:v>56</x:v>
      </x:c>
      <x:c r="G22" t="n">
        <x:v>72</x:v>
      </x:c>
      <x:c r="H22" t="n">
        <x:v>64</x:v>
      </x:c>
      <x:c r="I22" s="10" t="n">
        <x:v>91</x:v>
      </x:c>
      <x:c r="J22" t="n">
        <x:f>SUM(D22:H22)</x:f>
        <x:v>318</x:v>
      </x:c>
      <x:c r="K22" s="12" t="n">
        <x:f>J22/500</x:f>
        <x:v>0.636</x:v>
      </x:c>
      <x:c r="L22" t="str">
        <x:f>IF(K22&gt;=90%,"A+",IF(K22&gt;=80%,"A",IF(K22&gt;=70%,"B+",IF(K22&gt;=60%,"B",IF(K22&gt;=50%,"C",IF(K22&gt;=40%,"D","F"))))))</x:f>
        <x:v>B</x:v>
      </x:c>
      <x:c r="M22" t="str">
        <x:f>IF(AND(D22&gt;=35,E22&gt;=35,F22&gt;=35,G22&gt;=35,H22&gt;=35),"Pass","Fail")</x:f>
        <x:v>Pass</x:v>
      </x:c>
    </x:row>
    <x:row r="23" ht="20" customHeight="1">
      <x:c r="A23" t="n">
        <x:v>22</x:v>
      </x:c>
      <x:c r="B23" t="str">
        <x:v>Neha Saxena</x:v>
      </x:c>
      <x:c r="C23" t="str">
        <x:v>A</x:v>
      </x:c>
      <x:c r="D23" t="n">
        <x:v>60</x:v>
      </x:c>
      <x:c r="E23" t="n">
        <x:v>60</x:v>
      </x:c>
      <x:c r="F23" t="n">
        <x:v>67</x:v>
      </x:c>
      <x:c r="G23" t="n">
        <x:v>62</x:v>
      </x:c>
      <x:c r="H23" t="n">
        <x:v>64</x:v>
      </x:c>
      <x:c r="I23" s="10" t="n">
        <x:v>80</x:v>
      </x:c>
      <x:c r="J23" t="n">
        <x:f>SUM(D23:H23)</x:f>
        <x:v>313</x:v>
      </x:c>
      <x:c r="K23" s="12" t="n">
        <x:f>J23/500</x:f>
        <x:v>0.626</x:v>
      </x:c>
      <x:c r="L23" t="str">
        <x:f>IF(K23&gt;=90%,"A+",IF(K23&gt;=80%,"A",IF(K23&gt;=70%,"B+",IF(K23&gt;=60%,"B",IF(K23&gt;=50%,"C",IF(K23&gt;=40%,"D","F"))))))</x:f>
        <x:v>B</x:v>
      </x:c>
      <x:c r="M23" t="str">
        <x:f>IF(AND(D23&gt;=35,E23&gt;=35,F23&gt;=35,G23&gt;=35,H23&gt;=35),"Pass","Fail")</x:f>
        <x:v>Pass</x:v>
      </x:c>
    </x:row>
    <x:row r="24" ht="20" customHeight="1">
      <x:c r="A24" t="n">
        <x:v>23</x:v>
      </x:c>
      <x:c r="B24" t="str">
        <x:v>Nikhil Jain</x:v>
      </x:c>
      <x:c r="C24" t="str">
        <x:v>A</x:v>
      </x:c>
      <x:c r="D24" t="n">
        <x:v>65</x:v>
      </x:c>
      <x:c r="E24" t="n">
        <x:v>67</x:v>
      </x:c>
      <x:c r="F24" t="n">
        <x:v>47</x:v>
      </x:c>
      <x:c r="G24" t="n">
        <x:v>65</x:v>
      </x:c>
      <x:c r="H24" t="n">
        <x:v>61</x:v>
      </x:c>
      <x:c r="I24" s="10" t="n">
        <x:v>96</x:v>
      </x:c>
      <x:c r="J24" t="n">
        <x:f>SUM(D24:H24)</x:f>
        <x:v>305</x:v>
      </x:c>
      <x:c r="K24" s="12" t="n">
        <x:f>J24/500</x:f>
        <x:v>0.61</x:v>
      </x:c>
      <x:c r="L24" t="str">
        <x:f>IF(K24&gt;=90%,"A+",IF(K24&gt;=80%,"A",IF(K24&gt;=70%,"B+",IF(K24&gt;=60%,"B",IF(K24&gt;=50%,"C",IF(K24&gt;=40%,"D","F"))))))</x:f>
        <x:v>B</x:v>
      </x:c>
      <x:c r="M24" t="str">
        <x:f>IF(AND(D24&gt;=35,E24&gt;=35,F24&gt;=35,G24&gt;=35,H24&gt;=35),"Pass","Fail")</x:f>
        <x:v>Pass</x:v>
      </x:c>
    </x:row>
    <x:row r="25" ht="20" customHeight="1">
      <x:c r="A25" t="n">
        <x:v>24</x:v>
      </x:c>
      <x:c r="B25" t="str">
        <x:v>Pallavi Das</x:v>
      </x:c>
      <x:c r="C25" t="str">
        <x:v>A</x:v>
      </x:c>
      <x:c r="D25" t="n">
        <x:v>85</x:v>
      </x:c>
      <x:c r="E25" t="n">
        <x:v>81</x:v>
      </x:c>
      <x:c r="F25" t="n">
        <x:v>71</x:v>
      </x:c>
      <x:c r="G25" t="n">
        <x:v>64</x:v>
      </x:c>
      <x:c r="H25" t="n">
        <x:v>70</x:v>
      </x:c>
      <x:c r="I25" s="10" t="n">
        <x:v>85</x:v>
      </x:c>
      <x:c r="J25" t="n">
        <x:f>SUM(D25:H25)</x:f>
        <x:v>371</x:v>
      </x:c>
      <x:c r="K25" s="12" t="n">
        <x:f>J25/500</x:f>
        <x:v>0.742</x:v>
      </x:c>
      <x:c r="L25" t="str">
        <x:f>IF(K25&gt;=90%,"A+",IF(K25&gt;=80%,"A",IF(K25&gt;=70%,"B+",IF(K25&gt;=60%,"B",IF(K25&gt;=50%,"C",IF(K25&gt;=40%,"D","F"))))))</x:f>
        <x:v>B+</x:v>
      </x:c>
      <x:c r="M25" t="str">
        <x:f>IF(AND(D25&gt;=35,E25&gt;=35,F25&gt;=35,G25&gt;=35,H25&gt;=35),"Pass","Fail")</x:f>
        <x:v>Pass</x:v>
      </x:c>
    </x:row>
    <x:row r="26" ht="20" customHeight="1">
      <x:c r="A26" t="n">
        <x:v>25</x:v>
      </x:c>
      <x:c r="B26" t="str">
        <x:v>Pranav Sethi</x:v>
      </x:c>
      <x:c r="C26" t="str">
        <x:v>A</x:v>
      </x:c>
      <x:c r="D26" t="n">
        <x:v>68</x:v>
      </x:c>
      <x:c r="E26" t="n">
        <x:v>54</x:v>
      </x:c>
      <x:c r="F26" t="n">
        <x:v>77</x:v>
      </x:c>
      <x:c r="G26" t="n">
        <x:v>77</x:v>
      </x:c>
      <x:c r="H26" t="n">
        <x:v>62</x:v>
      </x:c>
      <x:c r="I26" s="10" t="n">
        <x:v>88</x:v>
      </x:c>
      <x:c r="J26" t="n">
        <x:f>SUM(D26:H26)</x:f>
        <x:v>338</x:v>
      </x:c>
      <x:c r="K26" s="12" t="n">
        <x:f>J26/500</x:f>
        <x:v>0.676</x:v>
      </x:c>
      <x:c r="L26" t="str">
        <x:f>IF(K26&gt;=90%,"A+",IF(K26&gt;=80%,"A",IF(K26&gt;=70%,"B+",IF(K26&gt;=60%,"B",IF(K26&gt;=50%,"C",IF(K26&gt;=40%,"D","F"))))))</x:f>
        <x:v>B</x:v>
      </x:c>
      <x:c r="M26" t="str">
        <x:f>IF(AND(D26&gt;=35,E26&gt;=35,F26&gt;=35,G26&gt;=35,H26&gt;=35),"Pass","Fail")</x:f>
        <x:v>Pass</x:v>
      </x:c>
    </x:row>
    <x:row r="27" ht="20" customHeight="1">
      <x:c r="A27" t="n">
        <x:v>26</x:v>
      </x:c>
      <x:c r="B27" t="str">
        <x:v>Riya Khanna</x:v>
      </x:c>
      <x:c r="C27" t="str">
        <x:v>B</x:v>
      </x:c>
      <x:c r="D27" t="n">
        <x:v>71</x:v>
      </x:c>
      <x:c r="E27" t="n">
        <x:v>58</x:v>
      </x:c>
      <x:c r="F27" t="n">
        <x:v>75</x:v>
      </x:c>
      <x:c r="G27" t="n">
        <x:v>64</x:v>
      </x:c>
      <x:c r="H27" t="n">
        <x:v>75</x:v>
      </x:c>
      <x:c r="I27" s="10" t="n">
        <x:v>88</x:v>
      </x:c>
      <x:c r="J27" t="n">
        <x:f>SUM(D27:H27)</x:f>
        <x:v>343</x:v>
      </x:c>
      <x:c r="K27" s="12" t="n">
        <x:f>J27/500</x:f>
        <x:v>0.686</x:v>
      </x:c>
      <x:c r="L27" t="str">
        <x:f>IF(K27&gt;=90%,"A+",IF(K27&gt;=80%,"A",IF(K27&gt;=70%,"B+",IF(K27&gt;=60%,"B",IF(K27&gt;=50%,"C",IF(K27&gt;=40%,"D","F"))))))</x:f>
        <x:v>B</x:v>
      </x:c>
      <x:c r="M27" t="str">
        <x:f>IF(AND(D27&gt;=35,E27&gt;=35,F27&gt;=35,G27&gt;=35,H27&gt;=35),"Pass","Fail")</x:f>
        <x:v>Pass</x:v>
      </x:c>
    </x:row>
    <x:row r="28" ht="20" customHeight="1">
      <x:c r="A28" t="n">
        <x:v>27</x:v>
      </x:c>
      <x:c r="B28" t="str">
        <x:v>Rohan Singh</x:v>
      </x:c>
      <x:c r="C28" t="str">
        <x:v>B</x:v>
      </x:c>
      <x:c r="D28" t="n">
        <x:v>60</x:v>
      </x:c>
      <x:c r="E28" t="n">
        <x:v>67</x:v>
      </x:c>
      <x:c r="F28" t="n">
        <x:v>80</x:v>
      </x:c>
      <x:c r="G28" t="n">
        <x:v>61</x:v>
      </x:c>
      <x:c r="H28" t="n">
        <x:v>73</x:v>
      </x:c>
      <x:c r="I28" s="10" t="n">
        <x:v>96</x:v>
      </x:c>
      <x:c r="J28" t="n">
        <x:f>SUM(D28:H28)</x:f>
        <x:v>341</x:v>
      </x:c>
      <x:c r="K28" s="12" t="n">
        <x:f>J28/500</x:f>
        <x:v>0.682</x:v>
      </x:c>
      <x:c r="L28" t="str">
        <x:f>IF(K28&gt;=90%,"A+",IF(K28&gt;=80%,"A",IF(K28&gt;=70%,"B+",IF(K28&gt;=60%,"B",IF(K28&gt;=50%,"C",IF(K28&gt;=40%,"D","F"))))))</x:f>
        <x:v>B</x:v>
      </x:c>
      <x:c r="M28" t="str">
        <x:f>IF(AND(D28&gt;=35,E28&gt;=35,F28&gt;=35,G28&gt;=35,H28&gt;=35),"Pass","Fail")</x:f>
        <x:v>Pass</x:v>
      </x:c>
    </x:row>
    <x:row r="29" ht="20" customHeight="1">
      <x:c r="A29" t="n">
        <x:v>28</x:v>
      </x:c>
      <x:c r="B29" t="str">
        <x:v>Sakshi Roy</x:v>
      </x:c>
      <x:c r="C29" t="str">
        <x:v>B</x:v>
      </x:c>
      <x:c r="D29" t="n">
        <x:v>63</x:v>
      </x:c>
      <x:c r="E29" t="n">
        <x:v>44</x:v>
      </x:c>
      <x:c r="F29" t="n">
        <x:v>42</x:v>
      </x:c>
      <x:c r="G29" t="n">
        <x:v>44</x:v>
      </x:c>
      <x:c r="H29" t="n">
        <x:v>47</x:v>
      </x:c>
      <x:c r="I29" s="10" t="n">
        <x:v>83</x:v>
      </x:c>
      <x:c r="J29" t="n">
        <x:f>SUM(D29:H29)</x:f>
        <x:v>240</x:v>
      </x:c>
      <x:c r="K29" s="12" t="n">
        <x:f>J29/500</x:f>
        <x:v>0.48</x:v>
      </x:c>
      <x:c r="L29" t="str">
        <x:f>IF(K29&gt;=90%,"A+",IF(K29&gt;=80%,"A",IF(K29&gt;=70%,"B+",IF(K29&gt;=60%,"B",IF(K29&gt;=50%,"C",IF(K29&gt;=40%,"D","F"))))))</x:f>
        <x:v>D</x:v>
      </x:c>
      <x:c r="M29" t="str">
        <x:f>IF(AND(D29&gt;=35,E29&gt;=35,F29&gt;=35,G29&gt;=35,H29&gt;=35),"Pass","Fail")</x:f>
        <x:v>Pass</x:v>
      </x:c>
    </x:row>
    <x:row r="30" ht="20" customHeight="1">
      <x:c r="A30" t="n">
        <x:v>29</x:v>
      </x:c>
      <x:c r="B30" t="str">
        <x:v>Sameer Ansari</x:v>
      </x:c>
      <x:c r="C30" t="str">
        <x:v>B</x:v>
      </x:c>
      <x:c r="D30" t="n">
        <x:v>60</x:v>
      </x:c>
      <x:c r="E30" t="n">
        <x:v>66</x:v>
      </x:c>
      <x:c r="F30" t="n">
        <x:v>77</x:v>
      </x:c>
      <x:c r="G30" t="n">
        <x:v>61</x:v>
      </x:c>
      <x:c r="H30" t="n">
        <x:v>61</x:v>
      </x:c>
      <x:c r="I30" s="10" t="n">
        <x:v>95</x:v>
      </x:c>
      <x:c r="J30" t="n">
        <x:f>SUM(D30:H30)</x:f>
        <x:v>325</x:v>
      </x:c>
      <x:c r="K30" s="12" t="n">
        <x:f>J30/500</x:f>
        <x:v>0.65</x:v>
      </x:c>
      <x:c r="L30" t="str">
        <x:f>IF(K30&gt;=90%,"A+",IF(K30&gt;=80%,"A",IF(K30&gt;=70%,"B+",IF(K30&gt;=60%,"B",IF(K30&gt;=50%,"C",IF(K30&gt;=40%,"D","F"))))))</x:f>
        <x:v>B</x:v>
      </x:c>
      <x:c r="M30" t="str">
        <x:f>IF(AND(D30&gt;=35,E30&gt;=35,F30&gt;=35,G30&gt;=35,H30&gt;=35),"Pass","Fail")</x:f>
        <x:v>Pass</x:v>
      </x:c>
    </x:row>
    <x:row r="31" ht="20" customHeight="1">
      <x:c r="A31" t="n">
        <x:v>30</x:v>
      </x:c>
      <x:c r="B31" t="str">
        <x:v>Sana Ali</x:v>
      </x:c>
      <x:c r="C31" t="str">
        <x:v>B</x:v>
      </x:c>
      <x:c r="D31" t="n">
        <x:v>77</x:v>
      </x:c>
      <x:c r="E31" t="n">
        <x:v>99</x:v>
      </x:c>
      <x:c r="F31" t="n">
        <x:v>92</x:v>
      </x:c>
      <x:c r="G31" t="n">
        <x:v>99</x:v>
      </x:c>
      <x:c r="H31" t="n">
        <x:v>79</x:v>
      </x:c>
      <x:c r="I31" s="10" t="n">
        <x:v>76</x:v>
      </x:c>
      <x:c r="J31" t="n">
        <x:f>SUM(D31:H31)</x:f>
        <x:v>446</x:v>
      </x:c>
      <x:c r="K31" s="12" t="n">
        <x:f>J31/500</x:f>
        <x:v>0.892</x:v>
      </x:c>
      <x:c r="L31" t="str">
        <x:f>IF(K31&gt;=90%,"A+",IF(K31&gt;=80%,"A",IF(K31&gt;=70%,"B+",IF(K31&gt;=60%,"B",IF(K31&gt;=50%,"C",IF(K31&gt;=40%,"D","F"))))))</x:f>
        <x:v>A</x:v>
      </x:c>
      <x:c r="M31" t="str">
        <x:f>IF(AND(D31&gt;=35,E31&gt;=35,F31&gt;=35,G31&gt;=35,H31&gt;=35),"Pass","Fail")</x:f>
        <x:v>Pass</x:v>
      </x:c>
    </x:row>
    <x:row r="32" ht="20" customHeight="1">
      <x:c r="A32" t="n">
        <x:v>31</x:v>
      </x:c>
      <x:c r="B32" t="str">
        <x:v>Shreya Gupta</x:v>
      </x:c>
      <x:c r="C32" t="str">
        <x:v>B</x:v>
      </x:c>
      <x:c r="D32" t="n">
        <x:v>98</x:v>
      </x:c>
      <x:c r="E32" t="n">
        <x:v>79</x:v>
      </x:c>
      <x:c r="F32" t="n">
        <x:v>82</x:v>
      </x:c>
      <x:c r="G32" t="n">
        <x:v>90</x:v>
      </x:c>
      <x:c r="H32" t="n">
        <x:v>99</x:v>
      </x:c>
      <x:c r="I32" s="10" t="n">
        <x:v>85</x:v>
      </x:c>
      <x:c r="J32" t="n">
        <x:f>SUM(D32:H32)</x:f>
        <x:v>448</x:v>
      </x:c>
      <x:c r="K32" s="12" t="n">
        <x:f>J32/500</x:f>
        <x:v>0.896</x:v>
      </x:c>
      <x:c r="L32" t="str">
        <x:f>IF(K32&gt;=90%,"A+",IF(K32&gt;=80%,"A",IF(K32&gt;=70%,"B+",IF(K32&gt;=60%,"B",IF(K32&gt;=50%,"C",IF(K32&gt;=40%,"D","F"))))))</x:f>
        <x:v>A</x:v>
      </x:c>
      <x:c r="M32" t="str">
        <x:f>IF(AND(D32&gt;=35,E32&gt;=35,F32&gt;=35,G32&gt;=35,H32&gt;=35),"Pass","Fail")</x:f>
        <x:v>Pass</x:v>
      </x:c>
    </x:row>
    <x:row r="33" ht="20" customHeight="1">
      <x:c r="A33" t="n">
        <x:v>32</x:v>
      </x:c>
      <x:c r="B33" t="str">
        <x:v>Siddharth Jain</x:v>
      </x:c>
      <x:c r="C33" t="str">
        <x:v>B</x:v>
      </x:c>
      <x:c r="D33" t="n">
        <x:v>74</x:v>
      </x:c>
      <x:c r="E33" t="n">
        <x:v>81</x:v>
      </x:c>
      <x:c r="F33" t="n">
        <x:v>80</x:v>
      </x:c>
      <x:c r="G33" t="n">
        <x:v>79</x:v>
      </x:c>
      <x:c r="H33" t="n">
        <x:v>63</x:v>
      </x:c>
      <x:c r="I33" s="10" t="n">
        <x:v>94</x:v>
      </x:c>
      <x:c r="J33" t="n">
        <x:f>SUM(D33:H33)</x:f>
        <x:v>377</x:v>
      </x:c>
      <x:c r="K33" s="12" t="n">
        <x:f>J33/500</x:f>
        <x:v>0.754</x:v>
      </x:c>
      <x:c r="L33" t="str">
        <x:f>IF(K33&gt;=90%,"A+",IF(K33&gt;=80%,"A",IF(K33&gt;=70%,"B+",IF(K33&gt;=60%,"B",IF(K33&gt;=50%,"C",IF(K33&gt;=40%,"D","F"))))))</x:f>
        <x:v>B+</x:v>
      </x:c>
      <x:c r="M33" t="str">
        <x:f>IF(AND(D33&gt;=35,E33&gt;=35,F33&gt;=35,G33&gt;=35,H33&gt;=35),"Pass","Fail")</x:f>
        <x:v>Pass</x:v>
      </x:c>
    </x:row>
    <x:row r="34" ht="20" customHeight="1">
      <x:c r="A34" t="n">
        <x:v>33</x:v>
      </x:c>
      <x:c r="B34" t="str">
        <x:v>Simran Kaur</x:v>
      </x:c>
      <x:c r="C34" t="str">
        <x:v>B</x:v>
      </x:c>
      <x:c r="D34" t="n">
        <x:v>75</x:v>
      </x:c>
      <x:c r="E34" t="n">
        <x:v>84</x:v>
      </x:c>
      <x:c r="F34" t="n">
        <x:v>83</x:v>
      </x:c>
      <x:c r="G34" t="n">
        <x:v>74</x:v>
      </x:c>
      <x:c r="H34" t="n">
        <x:v>77</x:v>
      </x:c>
      <x:c r="I34" s="10" t="n">
        <x:v>88</x:v>
      </x:c>
      <x:c r="J34" t="n">
        <x:f>SUM(D34:H34)</x:f>
        <x:v>393</x:v>
      </x:c>
      <x:c r="K34" s="12" t="n">
        <x:f>J34/500</x:f>
        <x:v>0.786</x:v>
      </x:c>
      <x:c r="L34" t="str">
        <x:f>IF(K34&gt;=90%,"A+",IF(K34&gt;=80%,"A",IF(K34&gt;=70%,"B+",IF(K34&gt;=60%,"B",IF(K34&gt;=50%,"C",IF(K34&gt;=40%,"D","F"))))))</x:f>
        <x:v>B+</x:v>
      </x:c>
      <x:c r="M34" t="str">
        <x:f>IF(AND(D34&gt;=35,E34&gt;=35,F34&gt;=35,G34&gt;=35,H34&gt;=35),"Pass","Fail")</x:f>
        <x:v>Pass</x:v>
      </x:c>
    </x:row>
    <x:row r="35" ht="20" customHeight="1">
      <x:c r="A35" t="n">
        <x:v>34</x:v>
      </x:c>
      <x:c r="B35" t="str">
        <x:v>Tanvi Sharma</x:v>
      </x:c>
      <x:c r="C35" t="str">
        <x:v>B</x:v>
      </x:c>
      <x:c r="D35" t="n">
        <x:v>75</x:v>
      </x:c>
      <x:c r="E35" t="n">
        <x:v>79</x:v>
      </x:c>
      <x:c r="F35" t="n">
        <x:v>79</x:v>
      </x:c>
      <x:c r="G35" t="n">
        <x:v>74</x:v>
      </x:c>
      <x:c r="H35" t="n">
        <x:v>82</x:v>
      </x:c>
      <x:c r="I35" s="10" t="n">
        <x:v>72</x:v>
      </x:c>
      <x:c r="J35" t="n">
        <x:f>SUM(D35:H35)</x:f>
        <x:v>389</x:v>
      </x:c>
      <x:c r="K35" s="12" t="n">
        <x:f>J35/500</x:f>
        <x:v>0.778</x:v>
      </x:c>
      <x:c r="L35" t="str">
        <x:f>IF(K35&gt;=90%,"A+",IF(K35&gt;=80%,"A",IF(K35&gt;=70%,"B+",IF(K35&gt;=60%,"B",IF(K35&gt;=50%,"C",IF(K35&gt;=40%,"D","F"))))))</x:f>
        <x:v>B+</x:v>
      </x:c>
      <x:c r="M35" t="str">
        <x:f>IF(AND(D35&gt;=35,E35&gt;=35,F35&gt;=35,G35&gt;=35,H35&gt;=35),"Pass","Fail")</x:f>
        <x:v>Pass</x:v>
      </x:c>
    </x:row>
    <x:row r="36" ht="20" customHeight="1">
      <x:c r="A36" t="n">
        <x:v>35</x:v>
      </x:c>
      <x:c r="B36" t="str">
        <x:v>Tanya Verma</x:v>
      </x:c>
      <x:c r="C36" t="str">
        <x:v>B</x:v>
      </x:c>
      <x:c r="D36" t="n">
        <x:v>76</x:v>
      </x:c>
      <x:c r="E36" t="n">
        <x:v>65</x:v>
      </x:c>
      <x:c r="F36" t="n">
        <x:v>58</x:v>
      </x:c>
      <x:c r="G36" t="n">
        <x:v>60</x:v>
      </x:c>
      <x:c r="H36" t="n">
        <x:v>80</x:v>
      </x:c>
      <x:c r="I36" s="10" t="n">
        <x:v>92</x:v>
      </x:c>
      <x:c r="J36" t="n">
        <x:f>SUM(D36:H36)</x:f>
        <x:v>339</x:v>
      </x:c>
      <x:c r="K36" s="12" t="n">
        <x:f>J36/500</x:f>
        <x:v>0.678</x:v>
      </x:c>
      <x:c r="L36" t="str">
        <x:f>IF(K36&gt;=90%,"A+",IF(K36&gt;=80%,"A",IF(K36&gt;=70%,"B+",IF(K36&gt;=60%,"B",IF(K36&gt;=50%,"C",IF(K36&gt;=40%,"D","F"))))))</x:f>
        <x:v>B</x:v>
      </x:c>
      <x:c r="M36" t="str">
        <x:f>IF(AND(D36&gt;=35,E36&gt;=35,F36&gt;=35,G36&gt;=35,H36&gt;=35),"Pass","Fail")</x:f>
        <x:v>Pass</x:v>
      </x:c>
    </x:row>
    <x:row r="37" ht="20" customHeight="1">
      <x:c r="A37" t="n">
        <x:v>36</x:v>
      </x:c>
      <x:c r="B37" t="str">
        <x:v>Uday Prakash</x:v>
      </x:c>
      <x:c r="C37" t="str">
        <x:v>B</x:v>
      </x:c>
      <x:c r="D37" t="n">
        <x:v>54</x:v>
      </x:c>
      <x:c r="E37" t="n">
        <x:v>49</x:v>
      </x:c>
      <x:c r="F37" t="n">
        <x:v>48</x:v>
      </x:c>
      <x:c r="G37" t="n">
        <x:v>57</x:v>
      </x:c>
      <x:c r="H37" t="n">
        <x:v>49</x:v>
      </x:c>
      <x:c r="I37" s="10" t="n">
        <x:v>88</x:v>
      </x:c>
      <x:c r="J37" t="n">
        <x:f>SUM(D37:H37)</x:f>
        <x:v>257</x:v>
      </x:c>
      <x:c r="K37" s="12" t="n">
        <x:f>J37/500</x:f>
        <x:v>0.514</x:v>
      </x:c>
      <x:c r="L37" t="str">
        <x:f>IF(K37&gt;=90%,"A+",IF(K37&gt;=80%,"A",IF(K37&gt;=70%,"B+",IF(K37&gt;=60%,"B",IF(K37&gt;=50%,"C",IF(K37&gt;=40%,"D","F"))))))</x:f>
        <x:v>C</x:v>
      </x:c>
      <x:c r="M37" t="str">
        <x:f>IF(AND(D37&gt;=35,E37&gt;=35,F37&gt;=35,G37&gt;=35,H37&gt;=35),"Pass","Fail")</x:f>
        <x:v>Pass</x:v>
      </x:c>
    </x:row>
    <x:row r="38" ht="20" customHeight="1">
      <x:c r="A38" t="n">
        <x:v>37</x:v>
      </x:c>
      <x:c r="B38" t="str">
        <x:v>Varun Kapoor</x:v>
      </x:c>
      <x:c r="C38" t="str">
        <x:v>B</x:v>
      </x:c>
      <x:c r="D38" t="n">
        <x:v>67</x:v>
      </x:c>
      <x:c r="E38" t="n">
        <x:v>80</x:v>
      </x:c>
      <x:c r="F38" t="n">
        <x:v>74</x:v>
      </x:c>
      <x:c r="G38" t="n">
        <x:v>65</x:v>
      </x:c>
      <x:c r="H38" t="n">
        <x:v>76</x:v>
      </x:c>
      <x:c r="I38" s="10" t="n">
        <x:v>76</x:v>
      </x:c>
      <x:c r="J38" t="n">
        <x:f>SUM(D38:H38)</x:f>
        <x:v>362</x:v>
      </x:c>
      <x:c r="K38" s="12" t="n">
        <x:f>J38/500</x:f>
        <x:v>0.724</x:v>
      </x:c>
      <x:c r="L38" t="str">
        <x:f>IF(K38&gt;=90%,"A+",IF(K38&gt;=80%,"A",IF(K38&gt;=70%,"B+",IF(K38&gt;=60%,"B",IF(K38&gt;=50%,"C",IF(K38&gt;=40%,"D","F"))))))</x:f>
        <x:v>B+</x:v>
      </x:c>
      <x:c r="M38" t="str">
        <x:f>IF(AND(D38&gt;=35,E38&gt;=35,F38&gt;=35,G38&gt;=35,H38&gt;=35),"Pass","Fail")</x:f>
        <x:v>Pass</x:v>
      </x:c>
    </x:row>
    <x:row r="39" ht="20" customHeight="1">
      <x:c r="A39" t="n">
        <x:v>38</x:v>
      </x:c>
      <x:c r="B39" t="str">
        <x:v>Vanshika Jain</x:v>
      </x:c>
      <x:c r="C39" t="str">
        <x:v>B</x:v>
      </x:c>
      <x:c r="D39" t="n">
        <x:v>81</x:v>
      </x:c>
      <x:c r="E39" t="n">
        <x:v>89</x:v>
      </x:c>
      <x:c r="F39" t="n">
        <x:v>87</x:v>
      </x:c>
      <x:c r="G39" t="n">
        <x:v>80</x:v>
      </x:c>
      <x:c r="H39" t="n">
        <x:v>77</x:v>
      </x:c>
      <x:c r="I39" s="10" t="n">
        <x:v>75</x:v>
      </x:c>
      <x:c r="J39" t="n">
        <x:f>SUM(D39:H39)</x:f>
        <x:v>414</x:v>
      </x:c>
      <x:c r="K39" s="12" t="n">
        <x:f>J39/500</x:f>
        <x:v>0.828</x:v>
      </x:c>
      <x:c r="L39" t="str">
        <x:f>IF(K39&gt;=90%,"A+",IF(K39&gt;=80%,"A",IF(K39&gt;=70%,"B+",IF(K39&gt;=60%,"B",IF(K39&gt;=50%,"C",IF(K39&gt;=40%,"D","F"))))))</x:f>
        <x:v>A</x:v>
      </x:c>
      <x:c r="M39" t="str">
        <x:f>IF(AND(D39&gt;=35,E39&gt;=35,F39&gt;=35,G39&gt;=35,H39&gt;=35),"Pass","Fail")</x:f>
        <x:v>Pass</x:v>
      </x:c>
    </x:row>
    <x:row r="40" ht="20" customHeight="1">
      <x:c r="A40" t="n">
        <x:v>39</x:v>
      </x:c>
      <x:c r="B40" t="str">
        <x:v>Vivek Arora</x:v>
      </x:c>
      <x:c r="C40" t="str">
        <x:v>B</x:v>
      </x:c>
      <x:c r="D40" t="n">
        <x:v>82</x:v>
      </x:c>
      <x:c r="E40" t="n">
        <x:v>84</x:v>
      </x:c>
      <x:c r="F40" t="n">
        <x:v>84</x:v>
      </x:c>
      <x:c r="G40" t="n">
        <x:v>85</x:v>
      </x:c>
      <x:c r="H40" t="n">
        <x:v>94</x:v>
      </x:c>
      <x:c r="I40" s="10" t="n">
        <x:v>73</x:v>
      </x:c>
      <x:c r="J40" t="n">
        <x:f>SUM(D40:H40)</x:f>
        <x:v>429</x:v>
      </x:c>
      <x:c r="K40" s="12" t="n">
        <x:f>J40/500</x:f>
        <x:v>0.858</x:v>
      </x:c>
      <x:c r="L40" t="str">
        <x:f>IF(K40&gt;=90%,"A+",IF(K40&gt;=80%,"A",IF(K40&gt;=70%,"B+",IF(K40&gt;=60%,"B",IF(K40&gt;=50%,"C",IF(K40&gt;=40%,"D","F"))))))</x:f>
        <x:v>A</x:v>
      </x:c>
      <x:c r="M40" t="str">
        <x:f>IF(AND(D40&gt;=35,E40&gt;=35,F40&gt;=35,G40&gt;=35,H40&gt;=35),"Pass","Fail")</x:f>
        <x:v>Pass</x:v>
      </x:c>
    </x:row>
    <x:row r="41" ht="20" customHeight="1">
      <x:c r="A41" t="n">
        <x:v>40</x:v>
      </x:c>
      <x:c r="B41" t="str">
        <x:v>Yash Raj</x:v>
      </x:c>
      <x:c r="C41" t="str">
        <x:v>B</x:v>
      </x:c>
      <x:c r="D41" t="n">
        <x:v>51</x:v>
      </x:c>
      <x:c r="E41" t="n">
        <x:v>62</x:v>
      </x:c>
      <x:c r="F41" t="n">
        <x:v>73</x:v>
      </x:c>
      <x:c r="G41" t="n">
        <x:v>60</x:v>
      </x:c>
      <x:c r="H41" t="n">
        <x:v>53</x:v>
      </x:c>
      <x:c r="I41" s="10" t="n">
        <x:v>79</x:v>
      </x:c>
      <x:c r="J41" t="n">
        <x:f>SUM(D41:H41)</x:f>
        <x:v>299</x:v>
      </x:c>
      <x:c r="K41" s="12" t="n">
        <x:f>J41/500</x:f>
        <x:v>0.598</x:v>
      </x:c>
      <x:c r="L41" t="str">
        <x:f>IF(K41&gt;=90%,"A+",IF(K41&gt;=80%,"A",IF(K41&gt;=70%,"B+",IF(K41&gt;=60%,"B",IF(K41&gt;=50%,"C",IF(K41&gt;=40%,"D","F"))))))</x:f>
        <x:v>C</x:v>
      </x:c>
      <x:c r="M41" t="str">
        <x:f>IF(AND(D41&gt;=35,E41&gt;=35,F41&gt;=35,G41&gt;=35,H41&gt;=35),"Pass","Fail")</x:f>
        <x:v>Pass</x:v>
      </x:c>
    </x:row>
    <x:row r="42" ht="20" customHeight="1">
      <x:c r="A42" t="n">
        <x:v>41</x:v>
      </x:c>
      <x:c r="B42" t="str">
        <x:v>Zara Khan</x:v>
      </x:c>
      <x:c r="C42" t="str">
        <x:v>B</x:v>
      </x:c>
      <x:c r="D42" t="n">
        <x:v>62</x:v>
      </x:c>
      <x:c r="E42" t="n">
        <x:v>73</x:v>
      </x:c>
      <x:c r="F42" t="n">
        <x:v>70</x:v>
      </x:c>
      <x:c r="G42" t="n">
        <x:v>60</x:v>
      </x:c>
      <x:c r="H42" t="n">
        <x:v>69</x:v>
      </x:c>
      <x:c r="I42" s="10" t="n">
        <x:v>77</x:v>
      </x:c>
      <x:c r="J42" t="n">
        <x:f>SUM(D42:H42)</x:f>
        <x:v>334</x:v>
      </x:c>
      <x:c r="K42" s="12" t="n">
        <x:f>J42/500</x:f>
        <x:v>0.668</x:v>
      </x:c>
      <x:c r="L42" t="str">
        <x:f>IF(K42&gt;=90%,"A+",IF(K42&gt;=80%,"A",IF(K42&gt;=70%,"B+",IF(K42&gt;=60%,"B",IF(K42&gt;=50%,"C",IF(K42&gt;=40%,"D","F"))))))</x:f>
        <x:v>B</x:v>
      </x:c>
      <x:c r="M42" t="str">
        <x:f>IF(AND(D42&gt;=35,E42&gt;=35,F42&gt;=35,G42&gt;=35,H42&gt;=35),"Pass","Fail")</x:f>
        <x:v>Pass</x:v>
      </x:c>
    </x:row>
    <x:row r="43" ht="20" customHeight="1">
      <x:c r="A43" t="n">
        <x:v>42</x:v>
      </x:c>
      <x:c r="B43" t="str">
        <x:v>Aditi Bose</x:v>
      </x:c>
      <x:c r="C43" t="str">
        <x:v>B</x:v>
      </x:c>
      <x:c r="D43" t="n">
        <x:v>75</x:v>
      </x:c>
      <x:c r="E43" t="n">
        <x:v>32</x:v>
      </x:c>
      <x:c r="F43" t="n">
        <x:v>48</x:v>
      </x:c>
      <x:c r="G43" t="n">
        <x:v>75</x:v>
      </x:c>
      <x:c r="H43" t="n">
        <x:v>78</x:v>
      </x:c>
      <x:c r="I43" s="10" t="n">
        <x:v>75</x:v>
      </x:c>
      <x:c r="J43" t="n">
        <x:f>SUM(D43:H43)</x:f>
        <x:v>308</x:v>
      </x:c>
      <x:c r="K43" s="12" t="n">
        <x:f>J43/500</x:f>
        <x:v>0.616</x:v>
      </x:c>
      <x:c r="L43" t="str">
        <x:f>IF(K43&gt;=90%,"A+",IF(K43&gt;=80%,"A",IF(K43&gt;=70%,"B+",IF(K43&gt;=60%,"B",IF(K43&gt;=50%,"C",IF(K43&gt;=40%,"D","F"))))))</x:f>
        <x:v>B</x:v>
      </x:c>
      <x:c r="M43" t="str">
        <x:f>IF(AND(D43&gt;=35,E43&gt;=35,F43&gt;=35,G43&gt;=35,H43&gt;=35),"Pass","Fail")</x:f>
        <x:v>Fail</x:v>
      </x:c>
    </x:row>
    <x:row r="44" ht="20" customHeight="1">
      <x:c r="A44" t="n">
        <x:v>43</x:v>
      </x:c>
      <x:c r="B44" t="str">
        <x:v>Raghav Tiwari</x:v>
      </x:c>
      <x:c r="C44" t="str">
        <x:v>B</x:v>
      </x:c>
      <x:c r="D44" t="n">
        <x:v>46</x:v>
      </x:c>
      <x:c r="E44" t="n">
        <x:v>68</x:v>
      </x:c>
      <x:c r="F44" t="n">
        <x:v>51</x:v>
      </x:c>
      <x:c r="G44" t="n">
        <x:v>49</x:v>
      </x:c>
      <x:c r="H44" t="n">
        <x:v>57</x:v>
      </x:c>
      <x:c r="I44" s="10" t="n">
        <x:v>87</x:v>
      </x:c>
      <x:c r="J44" t="n">
        <x:f>SUM(D44:H44)</x:f>
        <x:v>271</x:v>
      </x:c>
      <x:c r="K44" s="12" t="n">
        <x:f>J44/500</x:f>
        <x:v>0.542</x:v>
      </x:c>
      <x:c r="L44" t="str">
        <x:f>IF(K44&gt;=90%,"A+",IF(K44&gt;=80%,"A",IF(K44&gt;=70%,"B+",IF(K44&gt;=60%,"B",IF(K44&gt;=50%,"C",IF(K44&gt;=40%,"D","F"))))))</x:f>
        <x:v>C</x:v>
      </x:c>
      <x:c r="M44" t="str">
        <x:f>IF(AND(D44&gt;=35,E44&gt;=35,F44&gt;=35,G44&gt;=35,H44&gt;=35),"Pass","Fail")</x:f>
        <x:v>Pass</x:v>
      </x:c>
    </x:row>
    <x:row r="45" ht="20" customHeight="1">
      <x:c r="A45" t="n">
        <x:v>44</x:v>
      </x:c>
      <x:c r="B45" t="str">
        <x:v>Mansi Gupta</x:v>
      </x:c>
      <x:c r="C45" t="str">
        <x:v>B</x:v>
      </x:c>
      <x:c r="D45" t="n">
        <x:v>80</x:v>
      </x:c>
      <x:c r="E45" t="n">
        <x:v>86</x:v>
      </x:c>
      <x:c r="F45" t="n">
        <x:v>75</x:v>
      </x:c>
      <x:c r="G45" t="n">
        <x:v>79</x:v>
      </x:c>
      <x:c r="H45" t="n">
        <x:v>86</x:v>
      </x:c>
      <x:c r="I45" s="10" t="n">
        <x:v>72</x:v>
      </x:c>
      <x:c r="J45" t="n">
        <x:f>SUM(D45:H45)</x:f>
        <x:v>406</x:v>
      </x:c>
      <x:c r="K45" s="12" t="n">
        <x:f>J45/500</x:f>
        <x:v>0.812</x:v>
      </x:c>
      <x:c r="L45" t="str">
        <x:f>IF(K45&gt;=90%,"A+",IF(K45&gt;=80%,"A",IF(K45&gt;=70%,"B+",IF(K45&gt;=60%,"B",IF(K45&gt;=50%,"C",IF(K45&gt;=40%,"D","F"))))))</x:f>
        <x:v>A</x:v>
      </x:c>
      <x:c r="M45" t="str">
        <x:f>IF(AND(D45&gt;=35,E45&gt;=35,F45&gt;=35,G45&gt;=35,H45&gt;=35),"Pass","Fail")</x:f>
        <x:v>Pass</x:v>
      </x:c>
    </x:row>
    <x:row r="46" ht="20" customHeight="1">
      <x:c r="A46" t="n">
        <x:v>45</x:v>
      </x:c>
      <x:c r="B46" t="str">
        <x:v>Ritesh Verma</x:v>
      </x:c>
      <x:c r="C46" t="str">
        <x:v>B</x:v>
      </x:c>
      <x:c r="D46" t="n">
        <x:v>76</x:v>
      </x:c>
      <x:c r="E46" t="n">
        <x:v>82</x:v>
      </x:c>
      <x:c r="F46" t="n">
        <x:v>77</x:v>
      </x:c>
      <x:c r="G46" t="n">
        <x:v>81</x:v>
      </x:c>
      <x:c r="H46" t="n">
        <x:v>90</x:v>
      </x:c>
      <x:c r="I46" s="10" t="n">
        <x:v>95</x:v>
      </x:c>
      <x:c r="J46" t="n">
        <x:f>SUM(D46:H46)</x:f>
        <x:v>406</x:v>
      </x:c>
      <x:c r="K46" s="12" t="n">
        <x:f>J46/500</x:f>
        <x:v>0.812</x:v>
      </x:c>
      <x:c r="L46" t="str">
        <x:f>IF(K46&gt;=90%,"A+",IF(K46&gt;=80%,"A",IF(K46&gt;=70%,"B+",IF(K46&gt;=60%,"B",IF(K46&gt;=50%,"C",IF(K46&gt;=40%,"D","F"))))))</x:f>
        <x:v>A</x:v>
      </x:c>
      <x:c r="M46" t="str">
        <x:f>IF(AND(D46&gt;=35,E46&gt;=35,F46&gt;=35,G46&gt;=35,H46&gt;=35),"Pass","Fail")</x:f>
        <x:v>Pass</x:v>
      </x:c>
    </x:row>
    <x:row r="47" ht="20" customHeight="1">
      <x:c r="A47" t="n">
        <x:v>46</x:v>
      </x:c>
      <x:c r="B47" t="str">
        <x:v>Sonia Mehta</x:v>
      </x:c>
      <x:c r="C47" t="str">
        <x:v>B</x:v>
      </x:c>
      <x:c r="D47" t="n">
        <x:v>79</x:v>
      </x:c>
      <x:c r="E47" t="n">
        <x:v>81</x:v>
      </x:c>
      <x:c r="F47" t="n">
        <x:v>84</x:v>
      </x:c>
      <x:c r="G47" t="n">
        <x:v>81</x:v>
      </x:c>
      <x:c r="H47" t="n">
        <x:v>76</x:v>
      </x:c>
      <x:c r="I47" s="10" t="n">
        <x:v>90</x:v>
      </x:c>
      <x:c r="J47" t="n">
        <x:f>SUM(D47:H47)</x:f>
        <x:v>401</x:v>
      </x:c>
      <x:c r="K47" s="12" t="n">
        <x:f>J47/500</x:f>
        <x:v>0.802</x:v>
      </x:c>
      <x:c r="L47" t="str">
        <x:f>IF(K47&gt;=90%,"A+",IF(K47&gt;=80%,"A",IF(K47&gt;=70%,"B+",IF(K47&gt;=60%,"B",IF(K47&gt;=50%,"C",IF(K47&gt;=40%,"D","F"))))))</x:f>
        <x:v>A</x:v>
      </x:c>
      <x:c r="M47" t="str">
        <x:f>IF(AND(D47&gt;=35,E47&gt;=35,F47&gt;=35,G47&gt;=35,H47&gt;=35),"Pass","Fail")</x:f>
        <x:v>Pass</x:v>
      </x:c>
    </x:row>
    <x:row r="48" ht="20" customHeight="1">
      <x:c r="A48" t="n">
        <x:v>47</x:v>
      </x:c>
      <x:c r="B48" t="str">
        <x:v>Tushar Singh</x:v>
      </x:c>
      <x:c r="C48" t="str">
        <x:v>B</x:v>
      </x:c>
      <x:c r="D48" t="n">
        <x:v>70</x:v>
      </x:c>
      <x:c r="E48" t="n">
        <x:v>57</x:v>
      </x:c>
      <x:c r="F48" t="n">
        <x:v>48</x:v>
      </x:c>
      <x:c r="G48" t="n">
        <x:v>48</x:v>
      </x:c>
      <x:c r="H48" t="n">
        <x:v>65</x:v>
      </x:c>
      <x:c r="I48" s="10" t="n">
        <x:v>87</x:v>
      </x:c>
      <x:c r="J48" t="n">
        <x:f>SUM(D48:H48)</x:f>
        <x:v>288</x:v>
      </x:c>
      <x:c r="K48" s="12" t="n">
        <x:f>J48/500</x:f>
        <x:v>0.576</x:v>
      </x:c>
      <x:c r="L48" t="str">
        <x:f>IF(K48&gt;=90%,"A+",IF(K48&gt;=80%,"A",IF(K48&gt;=70%,"B+",IF(K48&gt;=60%,"B",IF(K48&gt;=50%,"C",IF(K48&gt;=40%,"D","F"))))))</x:f>
        <x:v>C</x:v>
      </x:c>
      <x:c r="M48" t="str">
        <x:f>IF(AND(D48&gt;=35,E48&gt;=35,F48&gt;=35,G48&gt;=35,H48&gt;=35),"Pass","Fail")</x:f>
        <x:v>Pass</x:v>
      </x:c>
    </x:row>
    <x:row r="49" ht="20" customHeight="1">
      <x:c r="A49" t="n">
        <x:v>48</x:v>
      </x:c>
      <x:c r="B49" t="str">
        <x:v>Kavya Nair</x:v>
      </x:c>
      <x:c r="C49" t="str">
        <x:v>B</x:v>
      </x:c>
      <x:c r="D49" t="n">
        <x:v>92</x:v>
      </x:c>
      <x:c r="E49" t="n">
        <x:v>81</x:v>
      </x:c>
      <x:c r="F49" t="n">
        <x:v>77</x:v>
      </x:c>
      <x:c r="G49" t="n">
        <x:v>92</x:v>
      </x:c>
      <x:c r="H49" t="n">
        <x:v>78</x:v>
      </x:c>
      <x:c r="I49" s="10" t="n">
        <x:v>99</x:v>
      </x:c>
      <x:c r="J49" t="n">
        <x:f>SUM(D49:H49)</x:f>
        <x:v>420</x:v>
      </x:c>
      <x:c r="K49" s="12" t="n">
        <x:f>J49/500</x:f>
        <x:v>0.84</x:v>
      </x:c>
      <x:c r="L49" t="str">
        <x:f>IF(K49&gt;=90%,"A+",IF(K49&gt;=80%,"A",IF(K49&gt;=70%,"B+",IF(K49&gt;=60%,"B",IF(K49&gt;=50%,"C",IF(K49&gt;=40%,"D","F"))))))</x:f>
        <x:v>A</x:v>
      </x:c>
      <x:c r="M49" t="str">
        <x:f>IF(AND(D49&gt;=35,E49&gt;=35,F49&gt;=35,G49&gt;=35,H49&gt;=35),"Pass","Fail")</x:f>
        <x:v>Pass</x:v>
      </x:c>
    </x:row>
    <x:row r="50" ht="20" customHeight="1">
      <x:c r="A50" t="n">
        <x:v>49</x:v>
      </x:c>
      <x:c r="B50" t="str">
        <x:v>Rahul Saini</x:v>
      </x:c>
      <x:c r="C50" t="str">
        <x:v>B</x:v>
      </x:c>
      <x:c r="D50" t="n">
        <x:v>57</x:v>
      </x:c>
      <x:c r="E50" t="n">
        <x:v>74</x:v>
      </x:c>
      <x:c r="F50" t="n">
        <x:v>57</x:v>
      </x:c>
      <x:c r="G50" t="n">
        <x:v>76</x:v>
      </x:c>
      <x:c r="H50" t="n">
        <x:v>62</x:v>
      </x:c>
      <x:c r="I50" s="10" t="n">
        <x:v>84</x:v>
      </x:c>
      <x:c r="J50" t="n">
        <x:f>SUM(D50:H50)</x:f>
        <x:v>326</x:v>
      </x:c>
      <x:c r="K50" s="12" t="n">
        <x:f>J50/500</x:f>
        <x:v>0.652</x:v>
      </x:c>
      <x:c r="L50" t="str">
        <x:f>IF(K50&gt;=90%,"A+",IF(K50&gt;=80%,"A",IF(K50&gt;=70%,"B+",IF(K50&gt;=60%,"B",IF(K50&gt;=50%,"C",IF(K50&gt;=40%,"D","F"))))))</x:f>
        <x:v>B</x:v>
      </x:c>
      <x:c r="M50" t="str">
        <x:f>IF(AND(D50&gt;=35,E50&gt;=35,F50&gt;=35,G50&gt;=35,H50&gt;=35),"Pass","Fail")</x:f>
        <x:v>Pass</x:v>
      </x:c>
    </x:row>
    <x:row r="51" ht="20" customHeight="1">
      <x:c r="A51" t="n">
        <x:v>50</x:v>
      </x:c>
      <x:c r="B51" t="str">
        <x:v>Pooja Yadav</x:v>
      </x:c>
      <x:c r="C51" t="str">
        <x:v>B</x:v>
      </x:c>
      <x:c r="D51" t="n">
        <x:v>69</x:v>
      </x:c>
      <x:c r="E51" t="n">
        <x:v>58</x:v>
      </x:c>
      <x:c r="F51" t="n">
        <x:v>69</x:v>
      </x:c>
      <x:c r="G51" t="n">
        <x:v>70</x:v>
      </x:c>
      <x:c r="H51" t="n">
        <x:v>52</x:v>
      </x:c>
      <x:c r="I51" s="10" t="n">
        <x:v>91</x:v>
      </x:c>
      <x:c r="J51" t="n">
        <x:f>SUM(D51:H51)</x:f>
        <x:v>318</x:v>
      </x:c>
      <x:c r="K51" s="12" t="n">
        <x:f>J51/500</x:f>
        <x:v>0.636</x:v>
      </x:c>
      <x:c r="L51" t="str">
        <x:f>IF(K51&gt;=90%,"A+",IF(K51&gt;=80%,"A",IF(K51&gt;=70%,"B+",IF(K51&gt;=60%,"B",IF(K51&gt;=50%,"C",IF(K51&gt;=40%,"D","F"))))))</x:f>
        <x:v>B</x:v>
      </x:c>
      <x:c r="M51" t="str">
        <x:f>IF(AND(D51&gt;=35,E51&gt;=35,F51&gt;=35,G51&gt;=35,H51&gt;=35),"Pass","Fail")</x:f>
        <x:v>Pass</x:v>
      </x:c>
    </x:row>
  </x:sheetData>
  <x:conditionalFormatting sqref="K2:K51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M2:M51">
    <x:cfRule type="expression" dxfId="0" priority="2">
      <x:formula>M2="Fail"</x:formula>
    </x:cfRule>
    <x:cfRule type="expression" dxfId="1" priority="3">
      <x:formula>M2="Pass"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f1d1ea32654178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7" t="str">
        <x:v>Grade</x:v>
      </x:c>
      <x:c r="B1" s="17" t="str">
        <x:v>Count</x:v>
      </x:c>
      <x:c r="C1" s="17"/>
      <x:c r="D1" s="17" t="str">
        <x:v>Result</x:v>
      </x:c>
      <x:c r="E1" s="17" t="str">
        <x:v>Count</x:v>
      </x:c>
      <x:c r="F1" s="17"/>
      <x:c r="G1" s="17" t="str">
        <x:v>Subject</x:v>
      </x:c>
      <x:c r="H1" s="17" t="str">
        <x:v>Average Marks</x:v>
      </x:c>
      <x:c r="I1" s="17"/>
      <x:c r="J1" s="17" t="str">
        <x:v>Section</x:v>
      </x:c>
      <x:c r="K1" s="17" t="str">
        <x:v>Average %</x:v>
      </x:c>
      <x:c r="L1" s="17"/>
      <x:c r="M1" s="17" t="str">
        <x:v>Assessment</x:v>
      </x:c>
      <x:c r="N1" s="17" t="str">
        <x:v>Average %</x:v>
      </x:c>
    </x:row>
    <x:row r="2">
      <x:c r="A2" s="14" t="str">
        <x:v>A+</x:v>
      </x:c>
      <x:c r="B2" s="14" t="n">
        <x:f>COUNTIF('Student Data'!$L$2:$L$51,"A+")</x:f>
        <x:v>0</x:v>
      </x:c>
      <x:c r="C2" s="14"/>
      <x:c r="D2" s="14" t="str">
        <x:v>Pass</x:v>
      </x:c>
      <x:c r="E2" s="14" t="n">
        <x:f>COUNTIF('Student Data'!$M$2:$M$51,"Pass")</x:f>
        <x:v>49</x:v>
      </x:c>
      <x:c r="F2" s="14"/>
      <x:c r="G2" s="14" t="str">
        <x:v>Mathematics</x:v>
      </x:c>
      <x:c r="H2" s="14" t="n">
        <x:f>AVERAGE('Student Data'!$D$2:$D$51)</x:f>
        <x:v>71.12</x:v>
      </x:c>
      <x:c r="I2" s="14"/>
      <x:c r="J2" s="14" t="str">
        <x:v>A</x:v>
      </x:c>
      <x:c r="K2" s="14" t="n">
        <x:f>AVERAGEIF('Student Data'!$C$2:$C$51,"A",'Student Data'!$K$2:$K$51)</x:f>
        <x:v>0.6848799999999998</x:v>
      </x:c>
      <x:c r="L2" s="14"/>
      <x:c r="M2" s="14" t="str">
        <x:v>Unit Test 1</x:v>
      </x:c>
      <x:c r="N2" s="14" t="n">
        <x:v>68</x:v>
      </x:c>
    </x:row>
    <x:row r="3">
      <x:c r="A3" s="14" t="str">
        <x:v>A</x:v>
      </x:c>
      <x:c r="B3" s="14" t="n">
        <x:f>COUNTIF('Student Data'!$L$2:$L$51,"A")</x:f>
        <x:v>9</x:v>
      </x:c>
      <x:c r="C3" s="14"/>
      <x:c r="D3" s="14" t="str">
        <x:v>Fail</x:v>
      </x:c>
      <x:c r="E3" s="14" t="n">
        <x:f>COUNTIF('Student Data'!$M$2:$M$51,"Fail")</x:f>
        <x:v>1</x:v>
      </x:c>
      <x:c r="F3" s="14"/>
      <x:c r="G3" s="14" t="str">
        <x:v>Physics</x:v>
      </x:c>
      <x:c r="H3" s="14" t="n">
        <x:f>AVERAGE('Student Data'!$E$2:$E$51)</x:f>
        <x:v>69.62</x:v>
      </x:c>
      <x:c r="I3" s="14"/>
      <x:c r="J3" s="14" t="str">
        <x:v>B</x:v>
      </x:c>
      <x:c r="K3" s="14" t="n">
        <x:f>AVERAGEIF('Student Data'!$C$2:$C$51,"B",'Student Data'!$K$2:$K$51)</x:f>
        <x:v>0.7104</x:v>
      </x:c>
      <x:c r="L3" s="14"/>
      <x:c r="M3" s="14" t="str">
        <x:v>Mid Term</x:v>
      </x:c>
      <x:c r="N3" s="14" t="n">
        <x:v>73</x:v>
      </x:c>
    </x:row>
    <x:row r="4">
      <x:c r="A4" s="14" t="str">
        <x:v>B+</x:v>
      </x:c>
      <x:c r="B4" s="14" t="n">
        <x:f>COUNTIF('Student Data'!$L$2:$L$51,"B+")</x:f>
        <x:v>14</x:v>
      </x:c>
      <x:c r="C4" s="14"/>
      <x:c r="D4" s="14"/>
      <x:c r="E4" s="14"/>
      <x:c r="F4" s="14"/>
      <x:c r="G4" s="14" t="str">
        <x:v>Chemistry</x:v>
      </x:c>
      <x:c r="H4" s="14" t="n">
        <x:f>AVERAGE('Student Data'!$F$2:$F$51)</x:f>
        <x:v>69.14</x:v>
      </x:c>
      <x:c r="I4" s="14"/>
      <x:c r="J4" s="14"/>
      <x:c r="K4" s="14"/>
      <x:c r="L4" s="14"/>
      <x:c r="M4" s="14" t="str">
        <x:v>Unit Test 2</x:v>
      </x:c>
      <x:c r="N4" s="14" t="n">
        <x:v>77</x:v>
      </x:c>
    </x:row>
    <x:row r="5">
      <x:c r="A5" s="14" t="str">
        <x:v>B</x:v>
      </x:c>
      <x:c r="B5" s="14" t="n">
        <x:f>COUNTIF('Student Data'!$L$2:$L$51,"B")</x:f>
        <x:v>19</x:v>
      </x:c>
      <x:c r="C5" s="14"/>
      <x:c r="D5" s="14"/>
      <x:c r="E5" s="14"/>
      <x:c r="F5" s="14"/>
      <x:c r="G5" s="14" t="str">
        <x:v>English</x:v>
      </x:c>
      <x:c r="H5" s="14" t="n">
        <x:f>AVERAGE('Student Data'!$G$2:$G$51)</x:f>
        <x:v>68.32</x:v>
      </x:c>
      <x:c r="I5" s="14"/>
      <x:c r="J5" s="14"/>
      <x:c r="K5" s="14"/>
      <x:c r="L5" s="14"/>
      <x:c r="M5" s="14" t="str">
        <x:v>Pre-Board</x:v>
      </x:c>
      <x:c r="N5" s="14" t="n">
        <x:v>81</x:v>
      </x:c>
    </x:row>
    <x:row r="6">
      <x:c r="A6" s="14" t="str">
        <x:v>C</x:v>
      </x:c>
      <x:c r="B6" s="14" t="n">
        <x:f>COUNTIF('Student Data'!$L$2:$L$51,"C")</x:f>
        <x:v>7</x:v>
      </x:c>
      <x:c r="C6" s="14"/>
      <x:c r="D6" s="14"/>
      <x:c r="E6" s="14"/>
      <x:c r="F6" s="14"/>
      <x:c r="G6" s="14" t="str">
        <x:v>Computer Science</x:v>
      </x:c>
      <x:c r="H6" s="14" t="n">
        <x:f>AVERAGE('Student Data'!$H$2:$H$51)</x:f>
        <x:v>70.62</x:v>
      </x:c>
      <x:c r="I6" s="14"/>
      <x:c r="J6" s="14"/>
      <x:c r="K6" s="14"/>
      <x:c r="L6" s="14"/>
      <x:c r="M6" s="14" t="str">
        <x:v>Final</x:v>
      </x:c>
      <x:c r="N6" s="14" t="n">
        <x:v>84</x:v>
      </x:c>
    </x:row>
    <x:row r="7">
      <x:c r="A7" t="str">
        <x:v>D</x:v>
      </x:c>
      <x:c r="B7" t="n">
        <x:f>COUNTIF('Student Data'!$L$2:$L$51,"D")</x:f>
        <x:v>1</x:v>
      </x:c>
    </x:row>
  </x:sheetData>
  <x:pageMargins left="0.7" right="0.7" top="0.75" bottom="0.75" header="0.3" footer="0.3"/>
</x:worksheet>
</file>